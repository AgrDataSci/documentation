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Rachel\1000 farms\github\documentation\static\"/>
    </mc:Choice>
  </mc:AlternateContent>
  <xr:revisionPtr revIDLastSave="0" documentId="8_{F96D83CB-2776-4D2E-B3B8-006AEEE8C1AE}" xr6:coauthVersionLast="47" xr6:coauthVersionMax="47" xr10:uidLastSave="{00000000-0000-0000-0000-000000000000}"/>
  <bookViews>
    <workbookView xWindow="-120" yWindow="-120" windowWidth="29040" windowHeight="15720" tabRatio="960" xr2:uid="{77F8739D-09D7-416A-9501-FE73C182780E}"/>
  </bookViews>
  <sheets>
    <sheet name="A. Introduction" sheetId="5" r:id="rId1"/>
    <sheet name="B. Trial dimensions" sheetId="8" r:id="rId2"/>
    <sheet name="C. Seed required - RTB" sheetId="25" r:id="rId3"/>
    <sheet name="D. Seed multiplication - RTB" sheetId="27" r:id="rId4"/>
    <sheet name="E. Unit prices" sheetId="24" r:id="rId5"/>
    <sheet name="F. Material costs" sheetId="1" r:id="rId6"/>
    <sheet name="Fuel_actual" sheetId="13" state="hidden" r:id="rId7"/>
    <sheet name="G. Wages" sheetId="6" r:id="rId8"/>
    <sheet name="H. Labour time" sheetId="7" r:id="rId9"/>
    <sheet name="I. Labour costs" sheetId="14" r:id="rId10"/>
    <sheet name="J. Per diem allowance" sheetId="12" r:id="rId11"/>
    <sheet name="K. Travel costs" sheetId="11" r:id="rId12"/>
    <sheet name="L. Call costs" sheetId="23" r:id="rId13"/>
    <sheet name="M. Overview" sheetId="4" r:id="rId14"/>
    <sheet name="N. Sensitivity analysis" sheetId="9" r:id="rId15"/>
    <sheet name="O. Scenario analysis" sheetId="20" r:id="rId16"/>
  </sheets>
  <externalReferences>
    <externalReference r:id="rId17"/>
  </externalReferences>
  <definedNames>
    <definedName name="_xlnm._FilterDatabase" localSheetId="7" hidden="1">'G. Wages'!$A$1:$D$8</definedName>
    <definedName name="_xlnm._FilterDatabase" localSheetId="8" hidden="1">'H. Labour time'!$A$2:$L$9</definedName>
    <definedName name="_xlnm._FilterDatabase" localSheetId="10" hidden="1">'J. Per diem allowance'!$A$2:$N$9</definedName>
    <definedName name="_xlnm._FilterDatabase" localSheetId="11" hidden="1">'K. Travel costs'!$A$2:$A$9</definedName>
    <definedName name="_xlnm._FilterDatabase" localSheetId="12" hidden="1">'L. Call costs'!#REF!</definedName>
    <definedName name="MyList" localSheetId="4">'E. Unit prices'!$A$2:$A$15</definedName>
    <definedName name="_xlnm.Print_Area" localSheetId="14">'N. Sensitivity analysis'!$A$1:$G$39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c r="H10" i="1"/>
  <c r="H17" i="12"/>
  <c r="H18" i="12" s="1"/>
  <c r="G10" i="7"/>
  <c r="G11" i="7"/>
  <c r="G12" i="7"/>
  <c r="G13" i="7"/>
  <c r="G14" i="7"/>
  <c r="G15" i="7"/>
  <c r="G16" i="7"/>
  <c r="G9" i="7"/>
  <c r="G8" i="7"/>
  <c r="G11" i="12"/>
  <c r="G12" i="12"/>
  <c r="G13" i="12"/>
  <c r="G14" i="12"/>
  <c r="G15" i="12"/>
  <c r="G16" i="12"/>
  <c r="G10" i="12"/>
  <c r="G9" i="12"/>
  <c r="G4" i="12"/>
  <c r="G5" i="12"/>
  <c r="G6" i="12"/>
  <c r="G7" i="12"/>
  <c r="G8" i="12"/>
  <c r="G3" i="12"/>
  <c r="E4" i="27"/>
  <c r="E5" i="27"/>
  <c r="D26" i="27"/>
  <c r="E26" i="27" s="1"/>
  <c r="E27" i="27"/>
  <c r="M4" i="12" l="1"/>
  <c r="M5" i="12"/>
  <c r="M6" i="12"/>
  <c r="M7" i="12"/>
  <c r="M8" i="12"/>
  <c r="M9" i="12"/>
  <c r="M10" i="12"/>
  <c r="M11" i="12"/>
  <c r="M12" i="12"/>
  <c r="M13" i="12"/>
  <c r="M14" i="12"/>
  <c r="M15" i="12"/>
  <c r="P15" i="12" s="1"/>
  <c r="M16" i="12"/>
  <c r="M3" i="12"/>
  <c r="G16" i="14"/>
  <c r="H10" i="20"/>
  <c r="M10" i="20" s="1"/>
  <c r="G9" i="20"/>
  <c r="L9" i="20" s="1"/>
  <c r="F8" i="20"/>
  <c r="K8" i="20" s="1"/>
  <c r="D6" i="20"/>
  <c r="I6" i="20" s="1"/>
  <c r="E6" i="20"/>
  <c r="E7" i="20" s="1"/>
  <c r="E11" i="20" s="1"/>
  <c r="J11" i="20" s="1"/>
  <c r="F6" i="20"/>
  <c r="K6" i="20" s="1"/>
  <c r="G6" i="20"/>
  <c r="L6" i="20" s="1"/>
  <c r="H6" i="20"/>
  <c r="M6" i="20" s="1"/>
  <c r="D7" i="20"/>
  <c r="I7" i="20" s="1"/>
  <c r="D8" i="20"/>
  <c r="I8" i="20" s="1"/>
  <c r="D9" i="20"/>
  <c r="D10" i="20"/>
  <c r="L17" i="12"/>
  <c r="L18" i="12" s="1"/>
  <c r="O15" i="12"/>
  <c r="O16" i="12"/>
  <c r="K17" i="12"/>
  <c r="C17" i="12"/>
  <c r="D17" i="12"/>
  <c r="E17" i="12"/>
  <c r="F17" i="12"/>
  <c r="I17" i="12"/>
  <c r="J17" i="12"/>
  <c r="B17" i="12"/>
  <c r="C18" i="7"/>
  <c r="C17" i="7"/>
  <c r="D17" i="7"/>
  <c r="E17" i="7"/>
  <c r="F17" i="7"/>
  <c r="I17" i="7"/>
  <c r="H17" i="7"/>
  <c r="J17" i="7"/>
  <c r="K17" i="7"/>
  <c r="B17" i="7"/>
  <c r="L15" i="7"/>
  <c r="M15" i="7" s="1"/>
  <c r="L16" i="7"/>
  <c r="M16" i="7" s="1"/>
  <c r="B17" i="4" s="1"/>
  <c r="C17" i="4" s="1"/>
  <c r="H7" i="20"/>
  <c r="M7" i="20" s="1"/>
  <c r="H8" i="20"/>
  <c r="M8" i="20" s="1"/>
  <c r="H9" i="20"/>
  <c r="M9" i="20" s="1"/>
  <c r="G10" i="20"/>
  <c r="L10" i="20" s="1"/>
  <c r="G7" i="20"/>
  <c r="L7" i="20" s="1"/>
  <c r="G8" i="20"/>
  <c r="L8" i="20" s="1"/>
  <c r="F10" i="20"/>
  <c r="K10" i="20" s="1"/>
  <c r="F9" i="20"/>
  <c r="K9" i="20" s="1"/>
  <c r="F7" i="20"/>
  <c r="K7" i="20" s="1"/>
  <c r="E9" i="20"/>
  <c r="J9" i="20" s="1"/>
  <c r="E10" i="20"/>
  <c r="J10" i="20" s="1"/>
  <c r="E8" i="20"/>
  <c r="J8" i="20" s="1"/>
  <c r="C14" i="11"/>
  <c r="C15" i="11"/>
  <c r="C16" i="11"/>
  <c r="C17" i="11"/>
  <c r="C18" i="11"/>
  <c r="C19" i="11"/>
  <c r="C20" i="11"/>
  <c r="C21" i="11"/>
  <c r="C13" i="11"/>
  <c r="D4" i="23"/>
  <c r="B41" i="4" s="1"/>
  <c r="C41" i="4" s="1"/>
  <c r="D5" i="23"/>
  <c r="B42" i="4" s="1"/>
  <c r="C42" i="4" s="1"/>
  <c r="D6" i="23"/>
  <c r="B43" i="4" s="1"/>
  <c r="C43" i="4" s="1"/>
  <c r="D7" i="23"/>
  <c r="B44" i="4" s="1"/>
  <c r="C44" i="4" s="1"/>
  <c r="D8" i="23"/>
  <c r="B45" i="4" s="1"/>
  <c r="C45" i="4" s="1"/>
  <c r="D9" i="23"/>
  <c r="B46" i="4" s="1"/>
  <c r="C46" i="4" s="1"/>
  <c r="D10" i="23"/>
  <c r="B47" i="4" s="1"/>
  <c r="C47" i="4" s="1"/>
  <c r="D11" i="23"/>
  <c r="B48" i="4" s="1"/>
  <c r="C48" i="4" s="1"/>
  <c r="D12" i="23"/>
  <c r="B49" i="4" s="1"/>
  <c r="C49" i="4" s="1"/>
  <c r="D13" i="23"/>
  <c r="B50" i="4" s="1"/>
  <c r="C50" i="4" s="1"/>
  <c r="D14" i="23"/>
  <c r="B51" i="4" s="1"/>
  <c r="C51" i="4" s="1"/>
  <c r="D15" i="23"/>
  <c r="B52" i="4" s="1"/>
  <c r="C52" i="4" s="1"/>
  <c r="D16" i="23"/>
  <c r="B53" i="4" s="1"/>
  <c r="C53" i="4" s="1"/>
  <c r="D3" i="23"/>
  <c r="A15" i="4"/>
  <c r="A16" i="4"/>
  <c r="A17" i="4"/>
  <c r="A3" i="23" a="1"/>
  <c r="A3" i="23" s="1"/>
  <c r="A40" i="4" s="1"/>
  <c r="A3" i="12" a="1"/>
  <c r="A3" i="12" s="1"/>
  <c r="A3" i="14" a="1"/>
  <c r="A3" i="14" s="1"/>
  <c r="A3" i="7" a="1"/>
  <c r="A3" i="7" s="1"/>
  <c r="C14" i="6"/>
  <c r="D14" i="6" s="1"/>
  <c r="D15" i="14" s="1"/>
  <c r="C15" i="6"/>
  <c r="D15" i="6" s="1"/>
  <c r="H16" i="14" s="1"/>
  <c r="B16" i="14" l="1"/>
  <c r="E16" i="14"/>
  <c r="J16" i="14" s="1"/>
  <c r="F16" i="14"/>
  <c r="B15" i="14"/>
  <c r="E15" i="14"/>
  <c r="I15" i="14"/>
  <c r="H15" i="14"/>
  <c r="B16" i="4"/>
  <c r="C16" i="4" s="1"/>
  <c r="G15" i="14"/>
  <c r="C15" i="14"/>
  <c r="D16" i="14"/>
  <c r="F15" i="14"/>
  <c r="C16" i="14"/>
  <c r="I16" i="14"/>
  <c r="P16" i="12"/>
  <c r="G11" i="20"/>
  <c r="L11" i="20" s="1"/>
  <c r="F11" i="20"/>
  <c r="K11" i="20" s="1"/>
  <c r="H11" i="20"/>
  <c r="M11" i="20" s="1"/>
  <c r="D11" i="20"/>
  <c r="I11" i="20" s="1"/>
  <c r="J7" i="20"/>
  <c r="J6" i="20"/>
  <c r="I10" i="20"/>
  <c r="I9" i="20"/>
  <c r="A50" i="4"/>
  <c r="A42" i="4"/>
  <c r="A49" i="4"/>
  <c r="A41" i="4"/>
  <c r="A48" i="4"/>
  <c r="A47" i="4"/>
  <c r="A46" i="4"/>
  <c r="A53" i="4"/>
  <c r="A45" i="4"/>
  <c r="A52" i="4"/>
  <c r="A44" i="4"/>
  <c r="A51" i="4"/>
  <c r="A43" i="4"/>
  <c r="A2" i="1" a="1"/>
  <c r="A2" i="1" s="1"/>
  <c r="F14" i="24"/>
  <c r="F15" i="24"/>
  <c r="F16" i="24"/>
  <c r="D14" i="1" s="1"/>
  <c r="F17" i="24"/>
  <c r="D15" i="1" s="1"/>
  <c r="F18" i="24"/>
  <c r="F19" i="24"/>
  <c r="F20" i="24"/>
  <c r="F21" i="24"/>
  <c r="D19" i="1" s="1"/>
  <c r="F22" i="24"/>
  <c r="F23" i="24"/>
  <c r="B8" i="8"/>
  <c r="D21" i="1"/>
  <c r="F25" i="24"/>
  <c r="D16" i="1"/>
  <c r="D17" i="1"/>
  <c r="D18" i="1"/>
  <c r="D20" i="1"/>
  <c r="D22" i="1"/>
  <c r="C14" i="1"/>
  <c r="C15" i="1"/>
  <c r="C16" i="1"/>
  <c r="C17" i="1"/>
  <c r="C18" i="1"/>
  <c r="C19" i="1"/>
  <c r="C20" i="1"/>
  <c r="C21" i="1"/>
  <c r="C22" i="1"/>
  <c r="C23" i="1"/>
  <c r="C3" i="1"/>
  <c r="C4" i="1"/>
  <c r="C5" i="1"/>
  <c r="C6" i="1"/>
  <c r="C7" i="1"/>
  <c r="C8" i="1"/>
  <c r="C9" i="1"/>
  <c r="C10" i="1"/>
  <c r="C11" i="1"/>
  <c r="C12" i="1"/>
  <c r="C13" i="1"/>
  <c r="J15" i="14" l="1"/>
  <c r="D23" i="1"/>
  <c r="D6" i="1"/>
  <c r="F24" i="24"/>
  <c r="F13" i="24"/>
  <c r="D13" i="1" s="1"/>
  <c r="F12" i="24"/>
  <c r="D12" i="1" s="1"/>
  <c r="F11" i="24"/>
  <c r="D11" i="1" s="1"/>
  <c r="F10" i="24"/>
  <c r="D10" i="1" s="1"/>
  <c r="F9" i="24"/>
  <c r="D9" i="1" s="1"/>
  <c r="F8" i="24"/>
  <c r="D8" i="1" s="1"/>
  <c r="F7" i="24"/>
  <c r="D7" i="1" s="1"/>
  <c r="F6" i="24"/>
  <c r="F5" i="24"/>
  <c r="D5" i="1" s="1"/>
  <c r="F4" i="24"/>
  <c r="D4" i="1" s="1"/>
  <c r="F3" i="24"/>
  <c r="D3" i="1" s="1"/>
  <c r="B40" i="4"/>
  <c r="C17" i="23"/>
  <c r="B17" i="23"/>
  <c r="B6" i="9"/>
  <c r="D6" i="9" s="1"/>
  <c r="E6" i="9" s="1"/>
  <c r="B5" i="9"/>
  <c r="D5" i="9" s="1"/>
  <c r="E5" i="9" s="1"/>
  <c r="B4" i="9"/>
  <c r="D4" i="9" s="1"/>
  <c r="C18" i="12"/>
  <c r="D14" i="11" s="1"/>
  <c r="E14" i="11" s="1"/>
  <c r="C13" i="6"/>
  <c r="C12" i="6"/>
  <c r="C11" i="6"/>
  <c r="C10" i="6"/>
  <c r="C9" i="6"/>
  <c r="C8" i="6"/>
  <c r="C7" i="6"/>
  <c r="C6" i="6"/>
  <c r="C5" i="6"/>
  <c r="C4" i="6"/>
  <c r="C3" i="6"/>
  <c r="C2" i="6"/>
  <c r="M17" i="12" l="1"/>
  <c r="M18" i="12" s="1"/>
  <c r="E4" i="9"/>
  <c r="F14" i="11"/>
  <c r="B33" i="4" s="1"/>
  <c r="C33" i="4" s="1"/>
  <c r="D17" i="23"/>
  <c r="H3" i="13"/>
  <c r="H4" i="13"/>
  <c r="H2" i="13"/>
  <c r="A34" i="4" l="1"/>
  <c r="A35" i="4"/>
  <c r="A36" i="4"/>
  <c r="A37" i="4"/>
  <c r="A32" i="4"/>
  <c r="N4" i="12"/>
  <c r="O4" i="12" s="1"/>
  <c r="N5" i="12"/>
  <c r="O5" i="12" s="1"/>
  <c r="N6" i="12"/>
  <c r="O6" i="12" s="1"/>
  <c r="N7" i="12"/>
  <c r="O7" i="12" s="1"/>
  <c r="N8" i="12"/>
  <c r="O8" i="12" s="1"/>
  <c r="N9" i="12"/>
  <c r="O9" i="12" s="1"/>
  <c r="N10" i="12"/>
  <c r="O10" i="12" s="1"/>
  <c r="N11" i="12"/>
  <c r="O11" i="12" s="1"/>
  <c r="N12" i="12"/>
  <c r="O12" i="12" s="1"/>
  <c r="N13" i="12"/>
  <c r="O13" i="12" s="1"/>
  <c r="N14" i="12"/>
  <c r="O14" i="12" s="1"/>
  <c r="B20" i="4" l="1"/>
  <c r="P4" i="12"/>
  <c r="B22" i="4"/>
  <c r="P6" i="12"/>
  <c r="B27" i="4"/>
  <c r="P11" i="12"/>
  <c r="B29" i="4"/>
  <c r="P13" i="12"/>
  <c r="B26" i="4"/>
  <c r="P10" i="12"/>
  <c r="B30" i="4"/>
  <c r="P14" i="12"/>
  <c r="B25" i="4"/>
  <c r="P9" i="12"/>
  <c r="B28" i="4"/>
  <c r="P12" i="12"/>
  <c r="B24" i="4"/>
  <c r="P8" i="12"/>
  <c r="B21" i="4"/>
  <c r="P5" i="12"/>
  <c r="B23" i="4"/>
  <c r="P7" i="12"/>
  <c r="A30" i="4"/>
  <c r="A29" i="4"/>
  <c r="A27" i="4"/>
  <c r="A26" i="4"/>
  <c r="A25" i="4"/>
  <c r="A24" i="4"/>
  <c r="A23" i="4"/>
  <c r="A22" i="4"/>
  <c r="A20" i="4"/>
  <c r="A19" i="4"/>
  <c r="A21" i="4"/>
  <c r="A28" i="4"/>
  <c r="A5" i="4"/>
  <c r="A6" i="4"/>
  <c r="A7" i="4"/>
  <c r="A8" i="4"/>
  <c r="A9" i="4"/>
  <c r="A10" i="4"/>
  <c r="A11" i="4"/>
  <c r="A12" i="4"/>
  <c r="A13" i="4"/>
  <c r="A14" i="4"/>
  <c r="A4" i="4"/>
  <c r="B24" i="11"/>
  <c r="E3" i="13"/>
  <c r="E4" i="13"/>
  <c r="E2" i="13"/>
  <c r="K18" i="12"/>
  <c r="D21" i="11" s="1"/>
  <c r="E21" i="11" s="1"/>
  <c r="F21" i="11" s="1"/>
  <c r="B38" i="4" s="1"/>
  <c r="C38" i="4" s="1"/>
  <c r="J18" i="12"/>
  <c r="D20" i="11" s="1"/>
  <c r="E20" i="11" s="1"/>
  <c r="F20" i="11" s="1"/>
  <c r="I18" i="12"/>
  <c r="D19" i="11" s="1"/>
  <c r="E19" i="11" s="1"/>
  <c r="F19" i="11" s="1"/>
  <c r="F18" i="12"/>
  <c r="D18" i="12"/>
  <c r="D15" i="11" s="1"/>
  <c r="E15" i="11" s="1"/>
  <c r="F15" i="11" s="1"/>
  <c r="B18" i="12"/>
  <c r="D13" i="11" s="1"/>
  <c r="E13" i="11" s="1"/>
  <c r="E18" i="12"/>
  <c r="D18" i="7"/>
  <c r="F18" i="7"/>
  <c r="I18" i="7"/>
  <c r="H18" i="7"/>
  <c r="J18" i="7"/>
  <c r="K18" i="7"/>
  <c r="G3" i="7"/>
  <c r="G4" i="7"/>
  <c r="G5" i="7"/>
  <c r="G6" i="7"/>
  <c r="G7" i="7"/>
  <c r="B18" i="7"/>
  <c r="G17" i="7" l="1"/>
  <c r="G18" i="7" s="1"/>
  <c r="L14" i="7"/>
  <c r="M14" i="7" s="1"/>
  <c r="B15" i="4" s="1"/>
  <c r="C15" i="4" s="1"/>
  <c r="L6" i="7"/>
  <c r="M6" i="7" s="1"/>
  <c r="L5" i="7"/>
  <c r="M5" i="7" s="1"/>
  <c r="L13" i="7"/>
  <c r="M13" i="7" s="1"/>
  <c r="L4" i="7"/>
  <c r="M4" i="7" s="1"/>
  <c r="L11" i="7"/>
  <c r="M11" i="7" s="1"/>
  <c r="L10" i="7"/>
  <c r="M10" i="7" s="1"/>
  <c r="L9" i="7"/>
  <c r="M9" i="7" s="1"/>
  <c r="L12" i="7"/>
  <c r="M12" i="7" s="1"/>
  <c r="L8" i="7"/>
  <c r="M8" i="7" s="1"/>
  <c r="L7" i="7"/>
  <c r="M7" i="7" s="1"/>
  <c r="L3" i="7"/>
  <c r="B34" i="4"/>
  <c r="C34" i="4" s="1"/>
  <c r="B37" i="4"/>
  <c r="C37" i="4" s="1"/>
  <c r="E18" i="7"/>
  <c r="C3" i="11"/>
  <c r="C4" i="11"/>
  <c r="C5" i="11"/>
  <c r="C6" i="11"/>
  <c r="C7" i="11"/>
  <c r="C8" i="11"/>
  <c r="C9" i="11"/>
  <c r="N3" i="12" l="1"/>
  <c r="G17" i="12"/>
  <c r="G18" i="12" s="1"/>
  <c r="D16" i="11" s="1"/>
  <c r="M3" i="7"/>
  <c r="M17" i="7" s="1"/>
  <c r="L17" i="7"/>
  <c r="L18" i="7" s="1"/>
  <c r="B36" i="4"/>
  <c r="C36" i="4" s="1"/>
  <c r="C27" i="4"/>
  <c r="C28" i="4"/>
  <c r="C29" i="4"/>
  <c r="C30" i="4"/>
  <c r="F13" i="11"/>
  <c r="D13" i="6"/>
  <c r="D12" i="6"/>
  <c r="B14" i="4"/>
  <c r="C14" i="4" s="1"/>
  <c r="B13" i="4"/>
  <c r="C13" i="4" s="1"/>
  <c r="D11" i="6"/>
  <c r="D10" i="6"/>
  <c r="B12" i="4"/>
  <c r="C12" i="4" s="1"/>
  <c r="B11" i="4"/>
  <c r="C11" i="4" s="1"/>
  <c r="D9" i="6"/>
  <c r="C10" i="11"/>
  <c r="F13" i="14" l="1"/>
  <c r="G13" i="14"/>
  <c r="E13" i="14"/>
  <c r="C13" i="14"/>
  <c r="B13" i="14"/>
  <c r="H13" i="14"/>
  <c r="D13" i="14"/>
  <c r="I13" i="14"/>
  <c r="H10" i="14"/>
  <c r="E10" i="14"/>
  <c r="J10" i="14" s="1"/>
  <c r="B10" i="14"/>
  <c r="I10" i="14"/>
  <c r="C10" i="14"/>
  <c r="F10" i="14"/>
  <c r="D10" i="14"/>
  <c r="G10" i="14"/>
  <c r="D11" i="14"/>
  <c r="E11" i="14"/>
  <c r="J11" i="14" s="1"/>
  <c r="B11" i="14"/>
  <c r="C11" i="14"/>
  <c r="F11" i="14"/>
  <c r="G11" i="14"/>
  <c r="H11" i="14"/>
  <c r="I11" i="14"/>
  <c r="H12" i="14"/>
  <c r="I12" i="14"/>
  <c r="C12" i="14"/>
  <c r="E12" i="14"/>
  <c r="D12" i="14"/>
  <c r="B12" i="14"/>
  <c r="G12" i="14"/>
  <c r="F12" i="14"/>
  <c r="H14" i="14"/>
  <c r="I14" i="14"/>
  <c r="G14" i="14"/>
  <c r="E14" i="14"/>
  <c r="J14" i="14" s="1"/>
  <c r="B14" i="14"/>
  <c r="C14" i="14"/>
  <c r="F14" i="14"/>
  <c r="D14" i="14"/>
  <c r="O3" i="12"/>
  <c r="P3" i="12" s="1"/>
  <c r="P17" i="12" s="1"/>
  <c r="P18" i="12" s="1"/>
  <c r="N17" i="12"/>
  <c r="N18" i="12" s="1"/>
  <c r="D17" i="11"/>
  <c r="E17" i="11" s="1"/>
  <c r="F17" i="11" s="1"/>
  <c r="D18" i="11"/>
  <c r="E18" i="11" s="1"/>
  <c r="F18" i="11" s="1"/>
  <c r="E16" i="11"/>
  <c r="B32" i="4"/>
  <c r="C32" i="4" s="1"/>
  <c r="C24" i="11"/>
  <c r="C26" i="4"/>
  <c r="J12" i="14" l="1"/>
  <c r="J13" i="14"/>
  <c r="B19" i="4"/>
  <c r="O17" i="12"/>
  <c r="O18" i="12" s="1"/>
  <c r="F16" i="11"/>
  <c r="F24" i="11" s="1"/>
  <c r="B31" i="4" s="1"/>
  <c r="B7" i="9" s="1"/>
  <c r="D7" i="9" s="1"/>
  <c r="E7" i="9" s="1"/>
  <c r="E24" i="11"/>
  <c r="D24" i="11"/>
  <c r="B15" i="8"/>
  <c r="B16" i="8" s="1"/>
  <c r="B17" i="8" s="1"/>
  <c r="B35" i="4" l="1"/>
  <c r="C35" i="4" s="1"/>
  <c r="C24" i="4"/>
  <c r="C22" i="4"/>
  <c r="C20" i="4"/>
  <c r="C23" i="4"/>
  <c r="B9" i="4"/>
  <c r="C9" i="4" s="1"/>
  <c r="C25" i="4"/>
  <c r="C21" i="4"/>
  <c r="B7" i="4"/>
  <c r="C7" i="4" s="1"/>
  <c r="B8" i="4"/>
  <c r="C8" i="4" s="1"/>
  <c r="D4" i="6"/>
  <c r="B6" i="4"/>
  <c r="C6" i="4" s="1"/>
  <c r="D3" i="6"/>
  <c r="D2" i="6"/>
  <c r="D7" i="6"/>
  <c r="D8" i="6"/>
  <c r="B10" i="4"/>
  <c r="C10" i="4" s="1"/>
  <c r="D6" i="6"/>
  <c r="D5" i="6"/>
  <c r="B5" i="4"/>
  <c r="C5" i="4" s="1"/>
  <c r="B4" i="4"/>
  <c r="H8" i="14" l="1"/>
  <c r="I8" i="14"/>
  <c r="C8" i="14"/>
  <c r="D8" i="14"/>
  <c r="G8" i="14"/>
  <c r="F8" i="14"/>
  <c r="E8" i="14"/>
  <c r="B8" i="14"/>
  <c r="D3" i="14"/>
  <c r="D17" i="14" s="1"/>
  <c r="B3" i="14"/>
  <c r="C3" i="14"/>
  <c r="C17" i="14" s="1"/>
  <c r="F3" i="14"/>
  <c r="F17" i="14" s="1"/>
  <c r="G3" i="14"/>
  <c r="G17" i="14" s="1"/>
  <c r="H3" i="14"/>
  <c r="H17" i="14" s="1"/>
  <c r="I3" i="14"/>
  <c r="I17" i="14" s="1"/>
  <c r="E3" i="14"/>
  <c r="E17" i="14" s="1"/>
  <c r="F9" i="14"/>
  <c r="G9" i="14"/>
  <c r="C9" i="14"/>
  <c r="E9" i="14"/>
  <c r="H9" i="14"/>
  <c r="D9" i="14"/>
  <c r="I9" i="14"/>
  <c r="B9" i="14"/>
  <c r="H4" i="14"/>
  <c r="I4" i="14"/>
  <c r="C4" i="14"/>
  <c r="B4" i="14"/>
  <c r="D4" i="14"/>
  <c r="G4" i="14"/>
  <c r="F4" i="14"/>
  <c r="E4" i="14"/>
  <c r="H6" i="14"/>
  <c r="I6" i="14"/>
  <c r="G6" i="14"/>
  <c r="B6" i="14"/>
  <c r="C6" i="14"/>
  <c r="F6" i="14"/>
  <c r="D6" i="14"/>
  <c r="E6" i="14"/>
  <c r="J6" i="14" s="1"/>
  <c r="F5" i="14"/>
  <c r="G5" i="14"/>
  <c r="C5" i="14"/>
  <c r="B5" i="14"/>
  <c r="H5" i="14"/>
  <c r="D5" i="14"/>
  <c r="I5" i="14"/>
  <c r="E5" i="14"/>
  <c r="J5" i="14" s="1"/>
  <c r="D7" i="14"/>
  <c r="F7" i="14"/>
  <c r="C7" i="14"/>
  <c r="G7" i="14"/>
  <c r="H7" i="14"/>
  <c r="I7" i="14"/>
  <c r="B7" i="14"/>
  <c r="E7" i="14"/>
  <c r="J7" i="14" s="1"/>
  <c r="C3" i="25"/>
  <c r="B18" i="4"/>
  <c r="C18" i="4" s="1"/>
  <c r="C4" i="4"/>
  <c r="B3" i="4"/>
  <c r="C40" i="4"/>
  <c r="B39" i="4"/>
  <c r="J4" i="14" l="1"/>
  <c r="J8" i="14"/>
  <c r="J9" i="14"/>
  <c r="B17" i="14"/>
  <c r="J3" i="14"/>
  <c r="J17" i="14" s="1"/>
  <c r="C5" i="25"/>
  <c r="C18" i="27" s="1"/>
  <c r="E18" i="27" s="1"/>
  <c r="C2" i="1"/>
  <c r="C3" i="4"/>
  <c r="B8" i="9"/>
  <c r="D8" i="9" s="1"/>
  <c r="E8" i="9" s="1"/>
  <c r="C39" i="4"/>
  <c r="C31" i="4"/>
  <c r="C19" i="4"/>
  <c r="C10" i="27" l="1"/>
  <c r="E10" i="27" s="1"/>
  <c r="C13" i="27"/>
  <c r="E13" i="27" s="1"/>
  <c r="C15" i="27"/>
  <c r="E15" i="27" s="1"/>
  <c r="C3" i="27"/>
  <c r="C7" i="27" s="1"/>
  <c r="E7" i="27" s="1"/>
  <c r="C23" i="27"/>
  <c r="E23" i="27" s="1"/>
  <c r="C12" i="27"/>
  <c r="E12" i="27" s="1"/>
  <c r="C22" i="27"/>
  <c r="E22" i="27" s="1"/>
  <c r="C21" i="27"/>
  <c r="E21" i="27" s="1"/>
  <c r="C25" i="27"/>
  <c r="E25" i="27" s="1"/>
  <c r="C20" i="27"/>
  <c r="E20" i="27" s="1"/>
  <c r="C17" i="27"/>
  <c r="E17" i="27" s="1"/>
  <c r="C19" i="27"/>
  <c r="E19" i="27" s="1"/>
  <c r="C11" i="27"/>
  <c r="E11" i="27" s="1"/>
  <c r="C6" i="27"/>
  <c r="E6" i="27" s="1"/>
  <c r="C24" i="27"/>
  <c r="E24" i="27" s="1"/>
  <c r="C9" i="27"/>
  <c r="E9" i="27" s="1"/>
  <c r="C14" i="27"/>
  <c r="E14" i="27" s="1"/>
  <c r="E29" i="27"/>
  <c r="E2" i="24" s="1"/>
  <c r="C16" i="27"/>
  <c r="E16" i="27" s="1"/>
  <c r="E3" i="27" l="1"/>
  <c r="E28" i="27" s="1"/>
  <c r="E30" i="27" l="1"/>
  <c r="D2" i="24"/>
  <c r="F2" i="24" s="1"/>
  <c r="D2" i="1" l="1"/>
  <c r="D24" i="1" s="1"/>
  <c r="B2" i="4" l="1"/>
  <c r="D25" i="1"/>
  <c r="C2" i="4" s="1"/>
  <c r="C54" i="4" s="1"/>
  <c r="B54" i="4" l="1"/>
  <c r="N7" i="20"/>
  <c r="N11" i="20"/>
  <c r="N10" i="20"/>
  <c r="N8" i="20"/>
  <c r="B9" i="9"/>
  <c r="D9" i="9" s="1"/>
  <c r="E9" i="9" s="1"/>
  <c r="N6" i="20"/>
  <c r="N9" i="20"/>
  <c r="F8" i="9" l="1"/>
  <c r="F9" i="9"/>
  <c r="F6" i="9"/>
  <c r="N5" i="20"/>
  <c r="O10" i="20" s="1"/>
  <c r="F7" i="9"/>
  <c r="F5" i="9"/>
  <c r="F4" i="9"/>
  <c r="O6" i="20" l="1"/>
  <c r="O5" i="20"/>
  <c r="O11" i="20"/>
  <c r="O7" i="20"/>
  <c r="O8" i="20"/>
  <c r="O9"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tc={A2ED6EA1-2030-4EBB-A6DC-68994C6D8006}</author>
  </authors>
  <commentList>
    <comment ref="F2" authorId="0" shapeId="0" xr:uid="{A2ED6EA1-2030-4EBB-A6DC-68994C6D8006}">
      <text>
        <t>[Threaded comment]
Your version of Excel allows you to read this threaded comment; however, any edits to it will get removed if the file is opened in a newer version of Excel. Learn more: https://go.microsoft.com/fwlink/?linkid=870924
Comment:
    MAAIF</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<sst xmlns="http://schemas.openxmlformats.org/spreadsheetml/2006/main" count="396" uniqueCount="284">
  <si>
    <t>All costs are expressed in USD</t>
  </si>
  <si>
    <t>DEFINITIONS</t>
  </si>
  <si>
    <t>TRICOT TRIAL PHASES</t>
  </si>
  <si>
    <r>
      <rPr>
        <b/>
        <sz val="11"/>
        <color theme="1"/>
        <rFont val="Calibri"/>
        <family val="2"/>
        <scheme val="minor"/>
      </rPr>
      <t>Hours of work</t>
    </r>
    <r>
      <rPr>
        <sz val="11"/>
        <color theme="1"/>
        <rFont val="Calibri"/>
        <family val="2"/>
        <scheme val="minor"/>
      </rPr>
      <t xml:space="preserve"> includes hours spent on meetings, designing, testing and deploying the project on ClimMob and the registration of the participants.</t>
    </r>
  </si>
  <si>
    <r>
      <rPr>
        <b/>
        <sz val="11"/>
        <color theme="1"/>
        <rFont val="Calibri"/>
        <family val="2"/>
        <scheme val="minor"/>
      </rPr>
      <t>Hours of travel</t>
    </r>
    <r>
      <rPr>
        <sz val="11"/>
        <color theme="1"/>
        <rFont val="Calibri"/>
        <family val="2"/>
        <scheme val="minor"/>
      </rPr>
      <t xml:space="preserve"> includes hours spent transferring from one place to another at any </t>
    </r>
  </si>
  <si>
    <t>Dimension</t>
  </si>
  <si>
    <t>Value</t>
  </si>
  <si>
    <t>Country</t>
  </si>
  <si>
    <t>Crop</t>
  </si>
  <si>
    <t>Breeding institution</t>
  </si>
  <si>
    <t>Product profile</t>
  </si>
  <si>
    <t>Trial duration (days after planting)</t>
  </si>
  <si>
    <t>No. farmers (participants)</t>
  </si>
  <si>
    <t>No. varieties</t>
  </si>
  <si>
    <t>Units planting material per variety per plot</t>
  </si>
  <si>
    <t>No. monitoring visits - research</t>
  </si>
  <si>
    <t>No. monitoring visits - extension</t>
  </si>
  <si>
    <t>No. plots per farm</t>
  </si>
  <si>
    <t>Total no. of plots per variety</t>
  </si>
  <si>
    <t>Units planting material needed per variety</t>
  </si>
  <si>
    <t>Total units of planting material per trial</t>
  </si>
  <si>
    <t>Working days per month</t>
  </si>
  <si>
    <t>Working hours per day</t>
  </si>
  <si>
    <t>Per diem rate</t>
  </si>
  <si>
    <t>Exchange rate (USD)</t>
  </si>
  <si>
    <t>Note</t>
  </si>
  <si>
    <t>*Working days per month range from 20 to 22, depending a country's public holidays</t>
  </si>
  <si>
    <t>* Per diem rate is a flat rate (average of per diem for all job roles) to be applied to all
   destinations and to all people involved in travel</t>
  </si>
  <si>
    <t>Unit</t>
  </si>
  <si>
    <t>acre</t>
  </si>
  <si>
    <t>Seed rate</t>
  </si>
  <si>
    <t>Cuttings per 100kg bag</t>
  </si>
  <si>
    <t xml:space="preserve">number </t>
  </si>
  <si>
    <t>Quantity of cuttings required</t>
  </si>
  <si>
    <t>bags</t>
  </si>
  <si>
    <t xml:space="preserve">Estimated stem/vine/tuber yield </t>
  </si>
  <si>
    <t>bags/ acre</t>
  </si>
  <si>
    <t>Seed production area for tricot</t>
  </si>
  <si>
    <t>Item</t>
  </si>
  <si>
    <t>Quantity</t>
  </si>
  <si>
    <t>Unit Cost (USD)</t>
  </si>
  <si>
    <t>TOTAL COSTS (USD)</t>
  </si>
  <si>
    <t>Comments</t>
  </si>
  <si>
    <t>Acre</t>
  </si>
  <si>
    <t>Planting labor</t>
  </si>
  <si>
    <t>Litre</t>
  </si>
  <si>
    <t>Visit</t>
  </si>
  <si>
    <t>km</t>
  </si>
  <si>
    <t>TOTAL SEED COST</t>
  </si>
  <si>
    <t>*Cost of seed per unit: Total cost divided by the quantity produced and used for tricot trials</t>
  </si>
  <si>
    <t>Materials/ inputs</t>
  </si>
  <si>
    <t>Planting material (basic seed)</t>
  </si>
  <si>
    <t>Bag</t>
  </si>
  <si>
    <t>Herbicides</t>
  </si>
  <si>
    <t>Plastic woven sacs holding 100 kg</t>
  </si>
  <si>
    <t>Transport for delivery of planting material</t>
  </si>
  <si>
    <t>Gap filling material</t>
  </si>
  <si>
    <t>Labour</t>
  </si>
  <si>
    <t>1st ploughing</t>
  </si>
  <si>
    <t>2nd ploughing</t>
  </si>
  <si>
    <t>Disc harrowing</t>
  </si>
  <si>
    <t>Field marking</t>
  </si>
  <si>
    <t>Herbicide application</t>
  </si>
  <si>
    <t xml:space="preserve"> Acre</t>
  </si>
  <si>
    <t>Gap filling</t>
  </si>
  <si>
    <t>Weeding (4 times at interval of 1 - 1.5 months)</t>
  </si>
  <si>
    <t>1st weeding</t>
  </si>
  <si>
    <t>2nd weeding</t>
  </si>
  <si>
    <t>3rd weeding</t>
  </si>
  <si>
    <t>4th weeding</t>
  </si>
  <si>
    <t>Rouging</t>
  </si>
  <si>
    <t>1st Slash weeding</t>
  </si>
  <si>
    <t>2nd Slash weeding</t>
  </si>
  <si>
    <t>3rd Slash weeding</t>
  </si>
  <si>
    <t>4th Slash weeding</t>
  </si>
  <si>
    <t>Monitoring and supervision</t>
  </si>
  <si>
    <t>Harvesting labor (cutting, bundling &amp; labelling)</t>
  </si>
  <si>
    <t>Bags</t>
  </si>
  <si>
    <t>COST OF SEED PER CUTTING</t>
  </si>
  <si>
    <t>*Unit for seeds for RTB crops vary; cassava: stakes/cuttins, Sweetpotato: Cuttings, and Banana: Suckers or plantlets</t>
  </si>
  <si>
    <t>Type</t>
  </si>
  <si>
    <t>Units</t>
  </si>
  <si>
    <t>Gross_price</t>
  </si>
  <si>
    <t>Gross_quantity</t>
  </si>
  <si>
    <t>Unit_price</t>
  </si>
  <si>
    <t>Materials</t>
  </si>
  <si>
    <t>Transport</t>
  </si>
  <si>
    <t>[Add if needed]</t>
  </si>
  <si>
    <t>Communication bundle</t>
  </si>
  <si>
    <t>Communication</t>
  </si>
  <si>
    <t>Bundle</t>
  </si>
  <si>
    <t>See instructions on the Call_costs worksheet to obtain the costs for the Mobile data and voice low-consumption basket</t>
  </si>
  <si>
    <t>Travel reimbursement rate</t>
  </si>
  <si>
    <t>$/ km</t>
  </si>
  <si>
    <t>Rate caters for cost of fuel and other operation and maintenance costs, such as insurance, lubricants etc.</t>
  </si>
  <si>
    <t xml:space="preserve">* Snacks and lunch for each participant can be estimated from proportion of food in poverty line [(Cost of Food Basket)/(Total Poverty Line)]
</t>
  </si>
  <si>
    <t xml:space="preserve">* For example, if the cost of food basket is $0.87 and the poverty line is $1.04 per day/person, the proportion of food in poverty line is 0.87/2.15, which equals to 0.4 or 40%. </t>
  </si>
  <si>
    <t>* This implies the daily cost of food is 0.4*$2.15=$0.86</t>
  </si>
  <si>
    <t>*Check for information on poverty line at:</t>
  </si>
  <si>
    <t xml:space="preserve">http://www.worldbank.org/poverty   </t>
  </si>
  <si>
    <t xml:space="preserve">*Rate for travel by private vehicle for each country can be accessed at: </t>
  </si>
  <si>
    <t xml:space="preserve">https://hr.un.org/node/53991   </t>
  </si>
  <si>
    <t>*Adjust the rate for inflation and add it to the cost per km. Use the "Inflation Calculator" available at</t>
  </si>
  <si>
    <t>https://www.usinflationcalculator.com/</t>
  </si>
  <si>
    <t>Units_per_block</t>
  </si>
  <si>
    <t>Units_per_trial</t>
  </si>
  <si>
    <t>Cost_per_trial</t>
  </si>
  <si>
    <t>TOTAL PER TRIAL</t>
  </si>
  <si>
    <t>TOTAL PER BLOCK</t>
  </si>
  <si>
    <t>Fuel_type</t>
  </si>
  <si>
    <t>Fuel efficiency (km/liter)</t>
  </si>
  <si>
    <t>Maintenance schedule in Km</t>
  </si>
  <si>
    <t>Avg. operation &amp; maintenance cost</t>
  </si>
  <si>
    <t>Operation &amp;Maintenance cost per Km</t>
  </si>
  <si>
    <t>Diesel (car)</t>
  </si>
  <si>
    <t>Driver delivers seed in central location by sub-county. The cost of diesel is $1.29/ Litre, Each litre covers 10km (fuel economy: 10Km/Litre)</t>
  </si>
  <si>
    <t>Petrol (car)</t>
  </si>
  <si>
    <t>Cost of petrol is $1.44/ Litre, Each litre covers 22.73 km for a motorcycle</t>
  </si>
  <si>
    <t>Petrol (motorcycle)</t>
  </si>
  <si>
    <t>*Adjust fuel efficiency for Road Quality index (RQI) or International Roughness index (IRI)</t>
  </si>
  <si>
    <t>* Rule of thumb: You can reduce your target km/liter by 8-18% when driving on rough roads</t>
  </si>
  <si>
    <t>https://hr.un.org/node/53991</t>
  </si>
  <si>
    <t>Multiply this with inflation to get km price. Let's not complicate with road quality and maintenance (or other costs, such as insurance)</t>
  </si>
  <si>
    <t>Job role</t>
  </si>
  <si>
    <t>Monthly salary</t>
  </si>
  <si>
    <t>Daily rate</t>
  </si>
  <si>
    <t>Hourly rate</t>
  </si>
  <si>
    <t>Per diem</t>
  </si>
  <si>
    <t>Travel allowance</t>
  </si>
  <si>
    <t>Scientist: Breeder</t>
  </si>
  <si>
    <t>Scientist: Associate Breeder</t>
  </si>
  <si>
    <t>Scientist: Research Officer</t>
  </si>
  <si>
    <t>Scientist: Research Assistant</t>
  </si>
  <si>
    <t>Non-scientist: Technician</t>
  </si>
  <si>
    <t>Non-scientist: Driver</t>
  </si>
  <si>
    <t>Extension Officer</t>
  </si>
  <si>
    <r>
      <t xml:space="preserve">Hours of </t>
    </r>
    <r>
      <rPr>
        <b/>
        <sz val="11"/>
        <color rgb="FFFFC000"/>
        <rFont val="Calibri"/>
        <family val="2"/>
        <scheme val="minor"/>
      </rPr>
      <t xml:space="preserve">work </t>
    </r>
    <r>
      <rPr>
        <b/>
        <sz val="11"/>
        <color theme="0"/>
        <rFont val="Calibri"/>
        <family val="2"/>
        <scheme val="minor"/>
      </rPr>
      <t>needed per activity, per job role</t>
    </r>
  </si>
  <si>
    <t>Trial
preparation</t>
  </si>
  <si>
    <t>Training field agents</t>
  </si>
  <si>
    <t>Seed
distribution</t>
  </si>
  <si>
    <t>Total number of farm visits *</t>
  </si>
  <si>
    <t>Number of hours per visit</t>
  </si>
  <si>
    <t>Monitoring **</t>
  </si>
  <si>
    <t>Data
collection</t>
  </si>
  <si>
    <t>Yield measurement</t>
  </si>
  <si>
    <t>Product
Evaluation</t>
  </si>
  <si>
    <t>Farmer
Feedback</t>
  </si>
  <si>
    <t xml:space="preserve">TOTAL HOURS </t>
  </si>
  <si>
    <t>TOTAL DAYS</t>
  </si>
  <si>
    <t>TOTAL PER STAGE (HOURS)</t>
  </si>
  <si>
    <t>TOTAL PER STAGE (DAYS)</t>
  </si>
  <si>
    <t>* The number of farm visits should be calculated as follows: Total number of farms visited x Number of follow-up visits</t>
  </si>
  <si>
    <t xml:space="preserve">* Hours of work include time spent while traveling </t>
  </si>
  <si>
    <r>
      <rPr>
        <b/>
        <sz val="11"/>
        <color theme="7"/>
        <rFont val="Calibri"/>
        <family val="2"/>
        <scheme val="minor"/>
      </rPr>
      <t>Labour cost</t>
    </r>
    <r>
      <rPr>
        <b/>
        <sz val="11"/>
        <color theme="0"/>
        <rFont val="Calibri"/>
        <family val="2"/>
        <scheme val="minor"/>
      </rPr>
      <t xml:space="preserve"> per activity, per job role</t>
    </r>
  </si>
  <si>
    <t>Monitoring *</t>
  </si>
  <si>
    <t>TOTAL SALARY</t>
  </si>
  <si>
    <t>TOTAL PER STAGE (USD)</t>
  </si>
  <si>
    <t>* if error message appears, it means your monitoring hours exceed the product of number of farmers and number of monitoring visits</t>
  </si>
  <si>
    <r>
      <rPr>
        <b/>
        <sz val="11"/>
        <color theme="7"/>
        <rFont val="Calibri"/>
        <family val="2"/>
        <scheme val="minor"/>
      </rPr>
      <t>Days of t</t>
    </r>
    <r>
      <rPr>
        <b/>
        <sz val="11"/>
        <color rgb="FFFFC000"/>
        <rFont val="Calibri"/>
        <family val="2"/>
        <scheme val="minor"/>
      </rPr>
      <t xml:space="preserve">ravel </t>
    </r>
    <r>
      <rPr>
        <b/>
        <sz val="11"/>
        <color theme="0"/>
        <rFont val="Calibri"/>
        <family val="2"/>
        <scheme val="minor"/>
      </rPr>
      <t>needed per stage, per job role</t>
    </r>
  </si>
  <si>
    <t>Farms visited per day</t>
  </si>
  <si>
    <t>Travel days (single day)</t>
  </si>
  <si>
    <t>Travel allowance costs</t>
  </si>
  <si>
    <t>Per diem costs</t>
  </si>
  <si>
    <t>Travel time costs</t>
  </si>
  <si>
    <t>Labor type</t>
  </si>
  <si>
    <t>Preparation: 8 meetings of 2h each + 2 hours of ClimMob project design</t>
  </si>
  <si>
    <t>TOTAL PER STAGE</t>
  </si>
  <si>
    <t>Stage</t>
  </si>
  <si>
    <t>Kilometers travelled</t>
  </si>
  <si>
    <t>Total fuel costs</t>
  </si>
  <si>
    <t>Number of travel days</t>
  </si>
  <si>
    <t>Total per diem costs</t>
  </si>
  <si>
    <t>Total travel costs</t>
  </si>
  <si>
    <t>Trial preparation</t>
  </si>
  <si>
    <t>Training of field agents and farmers</t>
  </si>
  <si>
    <t>Seed distribution</t>
  </si>
  <si>
    <t xml:space="preserve">Monitoring: Research </t>
  </si>
  <si>
    <t>Monitoring: Extension</t>
  </si>
  <si>
    <t>Data collection</t>
  </si>
  <si>
    <t>Product evaluation</t>
  </si>
  <si>
    <t>Farmer feedback workshops</t>
  </si>
  <si>
    <r>
      <t xml:space="preserve">Minutes of </t>
    </r>
    <r>
      <rPr>
        <b/>
        <sz val="11"/>
        <color rgb="FFFFC000"/>
        <rFont val="Calibri"/>
        <family val="2"/>
        <scheme val="minor"/>
      </rPr>
      <t xml:space="preserve">phone calls </t>
    </r>
    <r>
      <rPr>
        <b/>
        <sz val="11"/>
        <color theme="0"/>
        <rFont val="Calibri"/>
        <family val="2"/>
        <scheme val="minor"/>
      </rPr>
      <t>needed per month per job role, per farmer/block</t>
    </r>
  </si>
  <si>
    <t>Number of staff</t>
  </si>
  <si>
    <t>Months of call bundles / staff</t>
  </si>
  <si>
    <t xml:space="preserve">Total cost </t>
  </si>
  <si>
    <r>
      <rPr>
        <sz val="11"/>
        <color theme="1"/>
        <rFont val="Calibri"/>
        <family val="2"/>
        <scheme val="minor"/>
      </rPr>
      <t>*Use the International Telecommunication Union (ITU) ICT price baskets for your country accessed at:</t>
    </r>
    <r>
      <rPr>
        <u/>
        <sz val="11"/>
        <color theme="10"/>
        <rFont val="Calibri"/>
        <family val="2"/>
        <scheme val="minor"/>
      </rPr>
      <t xml:space="preserve">
  https://www.itu.int/en/ITU-D/Statistics/Dashboards/Pages/IPB.aspx   </t>
    </r>
  </si>
  <si>
    <r>
      <t xml:space="preserve">*While on the page in the image below, select </t>
    </r>
    <r>
      <rPr>
        <b/>
        <sz val="11"/>
        <color theme="1"/>
        <rFont val="Calibri"/>
        <family val="2"/>
        <scheme val="minor"/>
      </rPr>
      <t>TABLES</t>
    </r>
    <r>
      <rPr>
        <sz val="11"/>
        <color theme="1"/>
        <rFont val="Calibri"/>
        <family val="2"/>
        <scheme val="minor"/>
      </rPr>
      <t xml:space="preserve"> from the menu bar, the </t>
    </r>
    <r>
      <rPr>
        <b/>
        <sz val="11"/>
        <color theme="1"/>
        <rFont val="Calibri"/>
        <family val="2"/>
        <scheme val="minor"/>
      </rPr>
      <t>basket "Mobile data and voice low-consumption basket
 (70 min + 20 SMS + 500 MB)</t>
    </r>
    <r>
      <rPr>
        <sz val="11"/>
        <color theme="1"/>
        <rFont val="Calibri"/>
        <family val="2"/>
        <scheme val="minor"/>
      </rPr>
      <t xml:space="preserve">, </t>
    </r>
    <r>
      <rPr>
        <b/>
        <sz val="11"/>
        <color theme="1"/>
        <rFont val="Calibri"/>
        <family val="2"/>
        <scheme val="minor"/>
      </rPr>
      <t>Price Measure "USD"</t>
    </r>
    <r>
      <rPr>
        <sz val="11"/>
        <color theme="1"/>
        <rFont val="Calibri"/>
        <family val="2"/>
        <scheme val="minor"/>
      </rPr>
      <t xml:space="preserve"> and </t>
    </r>
    <r>
      <rPr>
        <b/>
        <sz val="11"/>
        <color theme="1"/>
        <rFont val="Calibri"/>
        <family val="2"/>
        <scheme val="minor"/>
      </rPr>
      <t>Year "Current year"</t>
    </r>
    <r>
      <rPr>
        <sz val="11"/>
        <color theme="1"/>
        <rFont val="Calibri"/>
        <family val="2"/>
        <scheme val="minor"/>
      </rPr>
      <t xml:space="preserve"> and scroll to view information for your country.</t>
    </r>
  </si>
  <si>
    <r>
      <t>*</t>
    </r>
    <r>
      <rPr>
        <b/>
        <sz val="11"/>
        <color theme="1"/>
        <rFont val="Calibri"/>
        <family val="2"/>
        <scheme val="minor"/>
      </rPr>
      <t>Months of call bundles/ staff</t>
    </r>
    <r>
      <rPr>
        <sz val="11"/>
        <color theme="1"/>
        <rFont val="Calibri"/>
        <family val="2"/>
        <scheme val="minor"/>
      </rPr>
      <t xml:space="preserve"> column </t>
    </r>
    <r>
      <rPr>
        <b/>
        <sz val="11"/>
        <color theme="1"/>
        <rFont val="Calibri"/>
        <family val="2"/>
        <scheme val="minor"/>
      </rPr>
      <t xml:space="preserve">C </t>
    </r>
    <r>
      <rPr>
        <sz val="11"/>
        <color theme="1"/>
        <rFont val="Calibri"/>
        <family val="2"/>
        <scheme val="minor"/>
      </rPr>
      <t>shows how many month bundles each role needs from planting to farmer feedback</t>
    </r>
  </si>
  <si>
    <r>
      <t xml:space="preserve">*Changing cell </t>
    </r>
    <r>
      <rPr>
        <b/>
        <sz val="11"/>
        <color theme="1"/>
        <rFont val="Calibri"/>
        <family val="2"/>
        <scheme val="minor"/>
      </rPr>
      <t xml:space="preserve">B1 </t>
    </r>
    <r>
      <rPr>
        <sz val="11"/>
        <color theme="1"/>
        <rFont val="Calibri"/>
        <family val="2"/>
        <scheme val="minor"/>
      </rPr>
      <t>to another country's value will automatically scale the total cost to the country's price level</t>
    </r>
  </si>
  <si>
    <t>Whole trial</t>
  </si>
  <si>
    <t>Per block</t>
  </si>
  <si>
    <t>Labor</t>
  </si>
  <si>
    <t>Travel time</t>
  </si>
  <si>
    <t>Travel cost</t>
  </si>
  <si>
    <t>Farmer feedback</t>
  </si>
  <si>
    <t>Phone calls</t>
  </si>
  <si>
    <t>TOTAL</t>
  </si>
  <si>
    <t>TRICOT COSTING SENSITIVITY ANALYSIS DASHBOARD</t>
  </si>
  <si>
    <t>Cost driver</t>
  </si>
  <si>
    <t>Baseline Value</t>
  </si>
  <si>
    <t>% Adjusted</t>
  </si>
  <si>
    <t>Adjusted Value</t>
  </si>
  <si>
    <t>Change (%)</t>
  </si>
  <si>
    <t>Estimated Cost Impact (USD)</t>
  </si>
  <si>
    <t>Number of Farmers</t>
  </si>
  <si>
    <t>Monitoring Visits (Research)</t>
  </si>
  <si>
    <t>Monitoring Visits (Extension)</t>
  </si>
  <si>
    <t>Travel Cost</t>
  </si>
  <si>
    <t>Labour Cost</t>
  </si>
  <si>
    <t>Material Costs</t>
  </si>
  <si>
    <t>*Manually adjust the % in the adjusted value (column C) and sign +/- for adjusted value increase or decrease</t>
  </si>
  <si>
    <t>Scenario Analysis for Tricot Costing</t>
  </si>
  <si>
    <t>This table presents hypothetical adjustments to cost drivers and their projected impact on total cost.</t>
  </si>
  <si>
    <t>Scenario</t>
  </si>
  <si>
    <t>Change</t>
  </si>
  <si>
    <t>No. of Farmers</t>
  </si>
  <si>
    <t>Monitoring Visits (Avg)</t>
  </si>
  <si>
    <t>Fuel Cost Index %</t>
  </si>
  <si>
    <t>Labour Cost Index %</t>
  </si>
  <si>
    <t>Material Cost Index %</t>
  </si>
  <si>
    <t>FarmerFactor</t>
  </si>
  <si>
    <t>VisitFactor</t>
  </si>
  <si>
    <t>FuelFactor</t>
  </si>
  <si>
    <t>LabourFactor</t>
  </si>
  <si>
    <t>MaterialFactor</t>
  </si>
  <si>
    <t>Estimated Total 
Cost (USD)</t>
  </si>
  <si>
    <t xml:space="preserve">% change in 
Total costs </t>
  </si>
  <si>
    <t>Baseline</t>
  </si>
  <si>
    <t>Scenario A</t>
  </si>
  <si>
    <t>Farmers</t>
  </si>
  <si>
    <t>Scenario B</t>
  </si>
  <si>
    <t>Monitoring</t>
  </si>
  <si>
    <t>Scenario C</t>
  </si>
  <si>
    <t>Fuel cost index</t>
  </si>
  <si>
    <t>Scenario D</t>
  </si>
  <si>
    <t>Labor cost index</t>
  </si>
  <si>
    <t>Scenario E</t>
  </si>
  <si>
    <t>Material cost index</t>
  </si>
  <si>
    <t>Scenario F</t>
  </si>
  <si>
    <t>All of the above</t>
  </si>
  <si>
    <t>*Manually adjust the input index values (%)</t>
  </si>
  <si>
    <t>Trial start date (dd/mm/yyyy)</t>
  </si>
  <si>
    <t>Trial end date (dd/mm/yyyy)</t>
  </si>
  <si>
    <t>TOTAL SEED PRODUCED (CUTTINGS)</t>
  </si>
  <si>
    <t>Steps 1 to 3 of the tricot approach. People meet to select test lines, select traits for evaluation, and discuss plans to establish trials. This includes trial design on ClimMob, test and deploy.</t>
  </si>
  <si>
    <t>The research team will either travel to train field agents in trial regions or conduct centralised training sessions.</t>
  </si>
  <si>
    <t>Step 4 of the tricot approach. Farmers are trained in the tricot approach and in how to collect data. Each farmer receives a trial package of three technologies to be tested.</t>
  </si>
  <si>
    <t>The research team will travel to collect agronomic evaluation data at different data collection moments from 30% of the trials. They get per diem.</t>
  </si>
  <si>
    <t>Extension/ Field agents collect data at specific crop-based moments (e.g., for beans, vegetative, reproductive, postharvest) and product evaluation from all blocks assigned in a particular administrative unit.</t>
  </si>
  <si>
    <t>The research team will travel to support harvesting, and yield estimation at harvest from 30% of the trials. They get per diem.</t>
  </si>
  <si>
    <t>Food product  evaluation</t>
  </si>
  <si>
    <t>People will travel to organise consumer testing of crop products (e.g., fresh boiled cassava, flour-based cassava paste). They get per diem.</t>
  </si>
  <si>
    <t>Data analysis</t>
  </si>
  <si>
    <t>One person cleans and analyses data received from all blocks.</t>
  </si>
  <si>
    <t>Feedback</t>
  </si>
  <si>
    <t>Every farmer is informed about the results of the trial regarding their farm and shares their view on the experience.</t>
  </si>
  <si>
    <t>Fixed Cost</t>
  </si>
  <si>
    <t>Costs that stay the same regardless of how many farmers are involved in the process (E.g. coordinator time, training materials etc.).</t>
  </si>
  <si>
    <t>Variable Cost</t>
  </si>
  <si>
    <t>Costs that increase with scale (e.g. seeds, transport per farmer).</t>
  </si>
  <si>
    <t>Avoidable Cost</t>
  </si>
  <si>
    <t>A cost that might be reduced in future (e.g. travel if replaced by remote support).</t>
  </si>
  <si>
    <t>Scenario Analysis</t>
  </si>
  <si>
    <t>A way to test how much you could save by removing or reducing costs.</t>
  </si>
  <si>
    <t>Researchers define a set of comparable technology options to test. For example, they decide to compare crop varieties with each other, or different fertilizer types, or irrigation technologies. They will provide the necessary materials (inputs or other) to project implementers (organizations that will reach farmers). Typically, about 8-12 technology options (comparable items) are included in the trial to be tested.</t>
  </si>
  <si>
    <t>Step 2: Design</t>
  </si>
  <si>
    <t>Step 3: Recruitment</t>
  </si>
  <si>
    <t>Step 4: Distribution</t>
  </si>
  <si>
    <t>Step 5: Execution</t>
  </si>
  <si>
    <t>Step 6: Observation</t>
  </si>
  <si>
    <t>Step 7: Compilation</t>
  </si>
  <si>
    <t>Step 8: Analysis</t>
  </si>
  <si>
    <t>Step 9: Feedback</t>
  </si>
  <si>
    <t>Step 10: Evaluation</t>
  </si>
  <si>
    <t>Tricot is an iterative process: after every project cycle, researchers, implementers and farmers collaboratively evaluate how the process may be improved in the next cycle.</t>
  </si>
  <si>
    <t>The implementers provide feedback to every participating farmer: the names of their three technology options, which options were  most suited to their farm (out of the three options tried by them and out of all the options tried by farmers throughout the project), and where to obtain them.</t>
  </si>
  <si>
    <t>The implementers compile and analyze the data from the trials, using the ClimMob online software, to identify which technology options showed the best performance and under which conditions.</t>
  </si>
  <si>
    <t>The local designated field agents collect and compile the observation data from the tricot farmers, either in person or by phone. They
record the information digitally and send them on to the implementing organization. For this, they can use the free ‘ODK Collect’
smartphone app, which is connected to the ClimMob software</t>
  </si>
  <si>
    <t>Every farmer is responsible for their own trial and makes various easy observations about their three options over the course of the
season. For example: Which variety had the highest or the lowest yield? The farmers record these observations on an
observation card.</t>
  </si>
  <si>
    <t>Farmers use their trial packages to apply the new technology options separately, on small plots next to each other, in a mini-trial on their own farm. To avoid any bias, they are not aware of the names of the crop varieties or other technology options they are testing. These are revealed to them only after the data has been collected</t>
  </si>
  <si>
    <t>Farmers are trained in the tricot approach and on how to collect data. Each farmer receives a trial package of three technologies to be tested.</t>
  </si>
  <si>
    <t>The implementers recruit dedicated farmers interested in improving their farming through the use of new technologies.</t>
  </si>
  <si>
    <t>Step 1: Preparation</t>
  </si>
  <si>
    <t>The implementing organization uses the ClimMob (climmob.net) free online software to design the project. This digital platform
has been specifically created to manage tricot projects, from designing the experiment to data collection and analysis. The use of the digital platform streamlines the process. ClimMob offers the following benefits:
1. ClimMob helps to avoid mistakes by introducing QR codes and electronic forms;
2. ClimMob provides a dashboard to monitor progress;
3. ClimMob reduces or eliminates the effort spent on digitalizing data collected on paper;
4. ClimMob creates automatic reports with analytical results, avoiding the usual lengthy process of data cleaning and analysis;
5. ClimMob provides clean, formatted data that can be easily downloaded for further analysis with existing tools, for example, combining with weather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</si>
</sst>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quot;$&quot;* #,##0.00_);_(&quot;$&quot;* \(#,##0.00\);_(&quot;$&quot;* &quot;-&quot;??_);_(@_)"/>
    <numFmt numFmtId="165" formatCode="_(* #,##0.00_);_(* \(#,##0.00\);_(* &quot;-&quot;??_);_(@_)"/>
    <numFmt numFmtId="166" formatCode="_([$$-409]* #,##0.00_);_([$$-409]* \(#,##0.00\);_([$$-409]* &quot;-&quot;??_);_(@_)"/>
    <numFmt numFmtId="167" formatCode="_(* #,##0_);_(* \(#,##0\);_(* &quot;-&quot;??_);_(@_)"/>
    <numFmt numFmtId="168" formatCode="0.0"/>
    <numFmt numFmtId="169" formatCode="_([$$-409]* #,##0.000_);_([$$-409]* \(#,##0.000\);_([$$-409]* &quot;-&quot;??_);_(@_)"/>
    <numFmt numFmtId="170" formatCode="dd/mm/yyyy;@"/>
  </numFmts>
  <fonts count="23" x14ac:knownFonts="1">
    <font>
      <sz val="11"/>
      <color theme="1"/>
      <name val="Calibri"/>
      <family val="2"/>
      <scheme val="minor"/>
    </font>
    <font>
      <sz val="11"/>
      <color theme="1"/>
      <name val="Calibri"/>
      <family val="2"/>
      <scheme val="minor"/>
    </font>
    <font>
      <b/>
      <sz val="11"/>
      <color theme="0"/>
      <name val="Calibri"/>
      <family val="2"/>
      <scheme val="minor"/>
    </font>
    <font>
      <sz val="10"/>
      <color theme="1"/>
      <name val="Calibri"/>
      <family val="2"/>
      <scheme val="minor"/>
    </font>
    <font>
      <b/>
      <sz val="10"/>
      <color theme="0"/>
      <name val="Calibri"/>
      <family val="2"/>
      <scheme val="minor"/>
    </font>
    <font>
      <b/>
      <sz val="12"/>
      <color theme="0"/>
      <name val="Calibri"/>
      <family val="2"/>
      <scheme val="minor"/>
    </font>
    <font>
      <sz val="12"/>
      <color theme="1"/>
      <name val="Calibri"/>
      <family val="2"/>
      <scheme val="minor"/>
    </font>
    <font>
      <b/>
      <sz val="10"/>
      <color theme="1"/>
      <name val="Calibri"/>
      <family val="2"/>
      <scheme val="minor"/>
    </font>
    <font>
      <b/>
      <sz val="10"/>
      <name val="Calibri"/>
      <family val="2"/>
      <scheme val="minor"/>
    </font>
    <font>
      <b/>
      <sz val="11"/>
      <color rgb="FFFFC000"/>
      <name val="Calibri"/>
      <family val="2"/>
      <scheme val="minor"/>
    </font>
    <font>
      <b/>
      <sz val="11"/>
      <color theme="1"/>
      <name val="Calibri"/>
      <family val="2"/>
      <scheme val="minor"/>
    </font>
    <font>
      <b/>
      <sz val="11"/>
      <color theme="7"/>
      <name val="Calibri"/>
      <family val="2"/>
      <scheme val="minor"/>
    </font>
    <font>
      <u/>
      <sz val="11"/>
      <color theme="10"/>
      <name val="Calibri"/>
      <family val="2"/>
      <scheme val="minor"/>
    </font>
    <font>
      <b/>
      <sz val="14"/>
      <color rgb="FF000080"/>
      <name val="Calibri"/>
      <family val="2"/>
      <scheme val="minor"/>
    </font>
    <font>
      <b/>
      <i/>
      <sz val="10"/>
      <color theme="1"/>
      <name val="Calibri"/>
      <family val="2"/>
      <scheme val="minor"/>
    </font>
    <font>
      <sz val="8"/>
      <name val="Calibri"/>
      <family val="2"/>
      <scheme val="minor"/>
    </font>
    <font>
      <sz val="11"/>
      <color theme="1" tint="0.34998626667073579"/>
      <name val="Calibri"/>
      <family val="2"/>
      <scheme val="minor"/>
    </font>
    <font>
      <sz val="11"/>
      <name val="Calibri"/>
      <family val="2"/>
      <scheme val="minor"/>
    </font>
    <font>
      <b/>
      <sz val="11"/>
      <name val="Calibri"/>
      <family val="2"/>
      <scheme val="minor"/>
    </font>
    <font>
      <b/>
      <sz val="11"/>
      <color rgb="FF000080"/>
      <name val="Calibri"/>
      <family val="2"/>
      <scheme val="minor"/>
    </font>
    <font>
      <b/>
      <i/>
      <sz val="11"/>
      <color theme="1"/>
      <name val="Calibri"/>
      <family val="2"/>
      <scheme val="minor"/>
    </font>
    <font>
      <b/>
      <u/>
      <sz val="14"/>
      <color rgb="FF3D6A2F"/>
      <name val="Calibri"/>
      <family val="2"/>
      <scheme val="minor"/>
    </font>
    <font>
      <sz val="10"/>
      <name val="Calibri"/>
      <family val="2"/>
      <scheme val="minor"/>
    </font>
  </fonts>
  <fills count="10">
    <fill>
      <patternFill patternType="none"/>
    </fill>
    <fill>
      <patternFill patternType="gray125"/>
    </fill>
    <fill>
      <patternFill patternType="solid">
        <fgColor theme="9" tint="0.79998168889431442"/>
        <bgColor indexed="64"/>
      </patternFill>
    </fill>
    <fill>
      <patternFill patternType="solid">
        <fgColor rgb="FF3D6A2F"/>
        <bgColor indexed="64"/>
      </patternFill>
    </fill>
    <fill>
      <patternFill patternType="solid">
        <fgColor theme="0"/>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0" tint="-0.499984740745262"/>
        <bgColor theme="0"/>
      </patternFill>
    </fill>
    <fill>
      <patternFill patternType="solid">
        <fgColor theme="0" tint="-0.499984740745262"/>
        <bgColor indexed="64"/>
      </patternFill>
    </fill>
  </fills>
  <borders count="33">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style="medium">
        <color indexed="64"/>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style="thick">
        <color rgb="FF5036EA"/>
      </right>
      <top style="thin">
        <color theme="0" tint="-0.34998626667073579"/>
      </top>
      <bottom style="thin">
        <color theme="0" tint="-0.34998626667073579"/>
      </bottom>
      <diagonal/>
    </border>
    <border>
      <left/>
      <right style="thick">
        <color rgb="FF5036EA"/>
      </right>
      <top/>
      <bottom/>
      <diagonal/>
    </border>
    <border>
      <left style="thick">
        <color rgb="FF5036EA"/>
      </left>
      <right style="thin">
        <color theme="0" tint="-0.34998626667073579"/>
      </right>
      <top style="thin">
        <color theme="0" tint="-0.34998626667073579"/>
      </top>
      <bottom style="thin">
        <color theme="0" tint="-0.34998626667073579"/>
      </bottom>
      <diagonal/>
    </border>
    <border>
      <left style="thick">
        <color rgb="FF5036EA"/>
      </left>
      <right/>
      <top/>
      <bottom/>
      <diagonal/>
    </border>
    <border>
      <left style="thick">
        <color rgb="FF5036EA"/>
      </left>
      <right/>
      <top style="thick">
        <color rgb="FF5036EA"/>
      </top>
      <bottom style="thin">
        <color theme="0" tint="-0.34998626667073579"/>
      </bottom>
      <diagonal/>
    </border>
    <border>
      <left/>
      <right style="thick">
        <color rgb="FF5036EA"/>
      </right>
      <top style="thick">
        <color rgb="FF5036EA"/>
      </top>
      <bottom style="thin">
        <color theme="0" tint="-0.34998626667073579"/>
      </bottom>
      <diagonal/>
    </border>
    <border>
      <left/>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right style="thick">
        <color rgb="FF5036EA"/>
      </right>
      <top style="thin">
        <color theme="0" tint="-0.34998626667073579"/>
      </top>
      <bottom style="thin">
        <color theme="0" tint="-0.34998626667073579"/>
      </bottom>
      <diagonal/>
    </border>
    <border>
      <left style="thick">
        <color rgb="FF5036EA"/>
      </left>
      <right/>
      <top/>
      <bottom style="thin">
        <color theme="0" tint="-0.34998626667073579"/>
      </bottom>
      <diagonal/>
    </border>
    <border>
      <left style="thick">
        <color rgb="FF5036EA"/>
      </left>
      <right/>
      <top style="thin">
        <color theme="0" tint="-0.34998626667073579"/>
      </top>
      <bottom style="thin">
        <color theme="0" tint="-0.34998626667073579"/>
      </bottom>
      <diagonal/>
    </border>
    <border>
      <left style="thick">
        <color rgb="FF5036EA"/>
      </left>
      <right/>
      <top style="thin">
        <color theme="0" tint="-0.34998626667073579"/>
      </top>
      <bottom style="thick">
        <color rgb="FF5036EA"/>
      </bottom>
      <diagonal/>
    </border>
    <border>
      <left/>
      <right style="thick">
        <color rgb="FF5036EA"/>
      </right>
      <top style="thin">
        <color theme="0" tint="-0.34998626667073579"/>
      </top>
      <bottom style="thick">
        <color rgb="FF5036EA"/>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5">
    <xf numFmtId="0" fontId="0" fillId="0" borderId="0"/>
    <xf numFmtId="164" fontId="1" fillId="0" borderId="0" applyFont="0" applyFill="0" applyBorder="0" applyAlignment="0" applyProtection="0"/>
    <xf numFmtId="165" fontId="1" fillId="0" borderId="0" applyFont="0" applyFill="0" applyBorder="0" applyAlignment="0" applyProtection="0"/>
    <xf numFmtId="0" fontId="12" fillId="0" borderId="0" applyNumberFormat="0" applyFill="0" applyBorder="0" applyAlignment="0" applyProtection="0"/>
    <xf numFmtId="9" fontId="1" fillId="0" borderId="0" applyFont="0" applyFill="0" applyBorder="0" applyAlignment="0" applyProtection="0"/>
  </cellStyleXfs>
  <cellXfs count="240">
    <xf numFmtId="0" fontId="0" fillId="0" borderId="0" xfId="0"/>
    <xf numFmtId="2" fontId="0" fillId="0" borderId="0" xfId="0" applyNumberFormat="1"/>
    <xf numFmtId="166" fontId="0" fillId="0" borderId="0" xfId="0" applyNumberFormat="1"/>
    <xf numFmtId="0" fontId="3" fillId="0" borderId="0" xfId="0" applyFont="1" applyAlignment="1">
      <alignment horizontal="left"/>
    </xf>
    <xf numFmtId="0" fontId="3" fillId="0" borderId="0" xfId="0" applyFont="1" applyAlignment="1">
      <alignment horizontal="center"/>
    </xf>
    <xf numFmtId="0" fontId="3" fillId="0" borderId="0" xfId="0" applyFont="1"/>
    <xf numFmtId="0" fontId="5" fillId="3" borderId="0" xfId="0" applyFont="1" applyFill="1" applyAlignment="1">
      <alignment horizontal="center" vertical="center" wrapText="1"/>
    </xf>
    <xf numFmtId="0" fontId="3" fillId="4" borderId="1" xfId="0" applyFont="1" applyFill="1" applyBorder="1" applyAlignment="1">
      <alignment horizontal="center"/>
    </xf>
    <xf numFmtId="166" fontId="3" fillId="2" borderId="1" xfId="0" applyNumberFormat="1" applyFont="1" applyFill="1" applyBorder="1" applyAlignment="1">
      <alignment horizontal="center"/>
    </xf>
    <xf numFmtId="164" fontId="3" fillId="4" borderId="1" xfId="1" applyFont="1" applyFill="1" applyBorder="1" applyAlignment="1">
      <alignment horizontal="center"/>
    </xf>
    <xf numFmtId="0" fontId="3" fillId="0" borderId="1" xfId="0" applyFont="1" applyBorder="1" applyAlignment="1">
      <alignment horizontal="center"/>
    </xf>
    <xf numFmtId="0" fontId="3" fillId="4" borderId="1" xfId="0" applyFont="1" applyFill="1" applyBorder="1" applyAlignment="1">
      <alignment horizontal="left" indent="1"/>
    </xf>
    <xf numFmtId="0" fontId="0" fillId="0" borderId="0" xfId="0" applyAlignment="1">
      <alignment vertical="center"/>
    </xf>
    <xf numFmtId="166" fontId="0" fillId="6" borderId="11" xfId="0" applyNumberFormat="1" applyFill="1" applyBorder="1"/>
    <xf numFmtId="166" fontId="0" fillId="6" borderId="0" xfId="0" applyNumberFormat="1" applyFill="1"/>
    <xf numFmtId="166" fontId="0" fillId="6" borderId="12" xfId="0" applyNumberFormat="1" applyFill="1" applyBorder="1"/>
    <xf numFmtId="166" fontId="0" fillId="6" borderId="13" xfId="0" applyNumberFormat="1" applyFill="1" applyBorder="1"/>
    <xf numFmtId="164" fontId="0" fillId="6" borderId="0" xfId="0" applyNumberFormat="1" applyFill="1"/>
    <xf numFmtId="164" fontId="0" fillId="0" borderId="0" xfId="0" applyNumberFormat="1"/>
    <xf numFmtId="0" fontId="3" fillId="0" borderId="1" xfId="0" applyFont="1" applyBorder="1" applyAlignment="1">
      <alignment horizontal="left" indent="1"/>
    </xf>
    <xf numFmtId="164" fontId="3" fillId="0" borderId="1" xfId="1" applyFont="1" applyFill="1" applyBorder="1" applyAlignment="1">
      <alignment horizontal="center"/>
    </xf>
    <xf numFmtId="166" fontId="3" fillId="2" borderId="0" xfId="0" applyNumberFormat="1" applyFont="1" applyFill="1" applyAlignment="1">
      <alignment horizontal="center"/>
    </xf>
    <xf numFmtId="165" fontId="3" fillId="4" borderId="1" xfId="2" applyFont="1" applyFill="1" applyBorder="1" applyAlignment="1">
      <alignment horizontal="center"/>
    </xf>
    <xf numFmtId="0" fontId="12" fillId="0" borderId="0" xfId="3"/>
    <xf numFmtId="0" fontId="3" fillId="4" borderId="0" xfId="0" applyFont="1" applyFill="1"/>
    <xf numFmtId="164" fontId="0" fillId="6" borderId="11" xfId="0" applyNumberFormat="1" applyFill="1" applyBorder="1" applyAlignment="1">
      <alignment horizontal="left" indent="1"/>
    </xf>
    <xf numFmtId="1" fontId="3" fillId="0" borderId="0" xfId="0" applyNumberFormat="1" applyFont="1"/>
    <xf numFmtId="0" fontId="10" fillId="0" borderId="0" xfId="0" applyFont="1" applyProtection="1">
      <protection locked="0"/>
    </xf>
    <xf numFmtId="0" fontId="3" fillId="0" borderId="0" xfId="0" applyFont="1" applyProtection="1">
      <protection locked="0"/>
    </xf>
    <xf numFmtId="167" fontId="0" fillId="9" borderId="0" xfId="2" applyNumberFormat="1" applyFont="1" applyFill="1"/>
    <xf numFmtId="0" fontId="10" fillId="5" borderId="8" xfId="0" applyFont="1" applyFill="1" applyBorder="1"/>
    <xf numFmtId="0" fontId="10" fillId="5" borderId="5" xfId="0" applyFont="1" applyFill="1" applyBorder="1"/>
    <xf numFmtId="166" fontId="10" fillId="5" borderId="14" xfId="0" applyNumberFormat="1" applyFont="1" applyFill="1" applyBorder="1"/>
    <xf numFmtId="166" fontId="10" fillId="5" borderId="6" xfId="0" applyNumberFormat="1" applyFont="1" applyFill="1" applyBorder="1"/>
    <xf numFmtId="166" fontId="10" fillId="5" borderId="9" xfId="0" applyNumberFormat="1" applyFont="1" applyFill="1" applyBorder="1"/>
    <xf numFmtId="166" fontId="10" fillId="5" borderId="10" xfId="0" applyNumberFormat="1" applyFont="1" applyFill="1" applyBorder="1"/>
    <xf numFmtId="164" fontId="10" fillId="5" borderId="9" xfId="0" applyNumberFormat="1" applyFont="1" applyFill="1" applyBorder="1"/>
    <xf numFmtId="0" fontId="10" fillId="7" borderId="5" xfId="0" applyFont="1" applyFill="1" applyBorder="1" applyAlignment="1">
      <alignment vertical="center"/>
    </xf>
    <xf numFmtId="166" fontId="10" fillId="7" borderId="14" xfId="0" applyNumberFormat="1" applyFont="1" applyFill="1" applyBorder="1" applyAlignment="1">
      <alignment vertical="center"/>
    </xf>
    <xf numFmtId="166" fontId="10" fillId="7" borderId="6" xfId="0" applyNumberFormat="1" applyFont="1" applyFill="1" applyBorder="1" applyAlignment="1">
      <alignment vertical="center"/>
    </xf>
    <xf numFmtId="0" fontId="10" fillId="0" borderId="0" xfId="0" applyFont="1" applyAlignment="1">
      <alignment vertical="center"/>
    </xf>
    <xf numFmtId="0" fontId="10" fillId="0" borderId="7" xfId="0" applyFont="1" applyBorder="1" applyAlignment="1">
      <alignment horizontal="center" vertical="center"/>
    </xf>
    <xf numFmtId="0" fontId="0" fillId="0" borderId="0" xfId="0" applyAlignment="1" applyProtection="1">
      <alignment horizontal="center"/>
      <protection locked="0"/>
    </xf>
    <xf numFmtId="0" fontId="0" fillId="0" borderId="0" xfId="3" applyFont="1" applyAlignment="1" applyProtection="1">
      <alignment horizontal="left" vertical="center"/>
      <protection locked="0"/>
    </xf>
    <xf numFmtId="0" fontId="2" fillId="3" borderId="3" xfId="0" applyFont="1" applyFill="1" applyBorder="1"/>
    <xf numFmtId="0" fontId="2" fillId="3" borderId="4" xfId="0" applyFont="1" applyFill="1" applyBorder="1"/>
    <xf numFmtId="166" fontId="2" fillId="3" borderId="2" xfId="0" applyNumberFormat="1" applyFont="1" applyFill="1" applyBorder="1"/>
    <xf numFmtId="166" fontId="2" fillId="3" borderId="0" xfId="0" applyNumberFormat="1" applyFont="1" applyFill="1"/>
    <xf numFmtId="0" fontId="2" fillId="3" borderId="0" xfId="0" applyFont="1" applyFill="1" applyAlignment="1" applyProtection="1">
      <alignment horizontal="centerContinuous" vertical="center"/>
      <protection locked="0"/>
    </xf>
    <xf numFmtId="164" fontId="0" fillId="9" borderId="0" xfId="0" applyNumberFormat="1" applyFill="1" applyAlignment="1" applyProtection="1">
      <alignment horizontal="center"/>
      <protection locked="0"/>
    </xf>
    <xf numFmtId="0" fontId="3" fillId="0" borderId="0" xfId="0" applyFont="1" applyAlignment="1">
      <alignment vertical="center"/>
    </xf>
    <xf numFmtId="164" fontId="7" fillId="2" borderId="0" xfId="1" applyFont="1" applyFill="1" applyProtection="1"/>
    <xf numFmtId="1" fontId="8" fillId="4" borderId="0" xfId="0" applyNumberFormat="1" applyFont="1" applyFill="1" applyAlignment="1" applyProtection="1">
      <alignment horizontal="center" vertical="center"/>
      <protection locked="0"/>
    </xf>
    <xf numFmtId="0" fontId="3" fillId="0" borderId="0" xfId="0" applyFont="1" applyAlignment="1">
      <alignment horizontal="center" vertical="center"/>
    </xf>
    <xf numFmtId="9" fontId="3" fillId="0" borderId="0" xfId="0" applyNumberFormat="1" applyFont="1" applyAlignment="1">
      <alignment horizontal="center"/>
    </xf>
    <xf numFmtId="2" fontId="3" fillId="0" borderId="0" xfId="0" applyNumberFormat="1" applyFont="1" applyAlignment="1">
      <alignment horizontal="center"/>
    </xf>
    <xf numFmtId="0" fontId="2" fillId="3" borderId="22" xfId="0" applyFont="1" applyFill="1" applyBorder="1" applyAlignment="1">
      <alignment horizontal="center" vertical="center"/>
    </xf>
    <xf numFmtId="0" fontId="0" fillId="9" borderId="0" xfId="0" applyFill="1"/>
    <xf numFmtId="0" fontId="2" fillId="3" borderId="0" xfId="0" applyFont="1" applyFill="1" applyAlignment="1">
      <alignment horizontal="left" vertical="center"/>
    </xf>
    <xf numFmtId="0" fontId="2" fillId="3" borderId="0" xfId="0" applyFont="1" applyFill="1" applyAlignment="1">
      <alignment horizontal="center" vertical="center"/>
    </xf>
    <xf numFmtId="0" fontId="0" fillId="0" borderId="0" xfId="0" applyAlignment="1">
      <alignment horizontal="center"/>
    </xf>
    <xf numFmtId="0" fontId="2" fillId="3" borderId="0" xfId="0" applyFont="1" applyFill="1" applyAlignment="1" applyProtection="1">
      <alignment horizontal="center" vertical="center" wrapText="1"/>
      <protection locked="0"/>
    </xf>
    <xf numFmtId="0" fontId="0" fillId="9" borderId="0" xfId="0" applyFill="1" applyAlignment="1">
      <alignment horizontal="center"/>
    </xf>
    <xf numFmtId="0" fontId="0" fillId="4" borderId="1" xfId="0" applyFill="1" applyBorder="1" applyAlignment="1" applyProtection="1">
      <alignment horizontal="left" indent="1"/>
      <protection locked="0"/>
    </xf>
    <xf numFmtId="164" fontId="0" fillId="4" borderId="1" xfId="1" applyFont="1" applyFill="1" applyBorder="1" applyAlignment="1" applyProtection="1">
      <alignment horizontal="center"/>
      <protection locked="0"/>
    </xf>
    <xf numFmtId="166" fontId="0" fillId="2" borderId="1" xfId="0" applyNumberFormat="1" applyFill="1" applyBorder="1" applyAlignment="1">
      <alignment horizontal="center"/>
    </xf>
    <xf numFmtId="0" fontId="0" fillId="4" borderId="1" xfId="0" applyFill="1" applyBorder="1" applyAlignment="1" applyProtection="1">
      <alignment horizontal="center"/>
      <protection locked="0"/>
    </xf>
    <xf numFmtId="0" fontId="2" fillId="3" borderId="1" xfId="0" applyFont="1" applyFill="1" applyBorder="1" applyAlignment="1" applyProtection="1">
      <alignment horizontal="left" indent="1"/>
      <protection locked="0"/>
    </xf>
    <xf numFmtId="164" fontId="2" fillId="3" borderId="1" xfId="1" applyFont="1" applyFill="1" applyBorder="1" applyAlignment="1" applyProtection="1">
      <alignment horizontal="center" vertical="center"/>
    </xf>
    <xf numFmtId="0" fontId="0" fillId="0" borderId="0" xfId="0" applyAlignment="1">
      <alignment horizontal="left"/>
    </xf>
    <xf numFmtId="0" fontId="0" fillId="9" borderId="0" xfId="0" applyFill="1" applyAlignment="1">
      <alignment horizontal="left"/>
    </xf>
    <xf numFmtId="0" fontId="0" fillId="0" borderId="0" xfId="0" applyAlignment="1">
      <alignment horizontal="left" indent="1"/>
    </xf>
    <xf numFmtId="0" fontId="0" fillId="0" borderId="0" xfId="0" applyAlignment="1" applyProtection="1">
      <alignment wrapText="1"/>
      <protection locked="0"/>
    </xf>
    <xf numFmtId="0" fontId="0" fillId="0" borderId="0" xfId="0" applyAlignment="1" applyProtection="1">
      <alignment horizontal="left"/>
      <protection locked="0"/>
    </xf>
    <xf numFmtId="0" fontId="0" fillId="0" borderId="0" xfId="0" applyProtection="1">
      <protection locked="0"/>
    </xf>
    <xf numFmtId="166" fontId="0" fillId="4" borderId="1" xfId="0" applyNumberFormat="1" applyFill="1" applyBorder="1" applyAlignment="1" applyProtection="1">
      <alignment horizontal="center"/>
      <protection locked="0"/>
    </xf>
    <xf numFmtId="169" fontId="0" fillId="4" borderId="1" xfId="0" applyNumberFormat="1" applyFill="1" applyBorder="1" applyAlignment="1" applyProtection="1">
      <alignment horizontal="center"/>
      <protection locked="0"/>
    </xf>
    <xf numFmtId="166" fontId="0" fillId="0" borderId="0" xfId="0" applyNumberFormat="1" applyProtection="1">
      <protection locked="0"/>
    </xf>
    <xf numFmtId="0" fontId="12" fillId="0" borderId="0" xfId="3" applyAlignment="1" applyProtection="1">
      <alignment horizontal="left" vertical="center"/>
      <protection locked="0"/>
    </xf>
    <xf numFmtId="0" fontId="12" fillId="0" borderId="0" xfId="3" applyAlignment="1" applyProtection="1">
      <alignment horizontal="left" vertical="top"/>
      <protection locked="0"/>
    </xf>
    <xf numFmtId="0" fontId="0" fillId="0" borderId="0" xfId="0" applyAlignment="1" applyProtection="1">
      <alignment horizontal="left" vertical="center"/>
      <protection locked="0"/>
    </xf>
    <xf numFmtId="0" fontId="12" fillId="0" borderId="0" xfId="3" applyAlignment="1" applyProtection="1">
      <alignment horizontal="center"/>
      <protection locked="0"/>
    </xf>
    <xf numFmtId="0" fontId="2" fillId="3" borderId="0" xfId="0" applyFont="1" applyFill="1" applyAlignment="1">
      <alignment horizontal="center" vertical="center" wrapText="1"/>
    </xf>
    <xf numFmtId="166" fontId="0" fillId="2" borderId="2" xfId="0" applyNumberFormat="1" applyFill="1" applyBorder="1"/>
    <xf numFmtId="2" fontId="0" fillId="2" borderId="1" xfId="0" applyNumberFormat="1" applyFill="1" applyBorder="1" applyAlignment="1" applyProtection="1">
      <alignment horizontal="center"/>
      <protection locked="0"/>
    </xf>
    <xf numFmtId="1" fontId="0" fillId="2" borderId="1" xfId="0" applyNumberFormat="1" applyFill="1" applyBorder="1" applyAlignment="1">
      <alignment horizontal="center"/>
    </xf>
    <xf numFmtId="166" fontId="0" fillId="2" borderId="1" xfId="0" applyNumberFormat="1" applyFill="1" applyBorder="1"/>
    <xf numFmtId="0" fontId="2" fillId="3" borderId="0" xfId="0" applyFont="1" applyFill="1" applyAlignment="1" applyProtection="1">
      <alignment horizontal="center" vertical="center"/>
      <protection locked="0"/>
    </xf>
    <xf numFmtId="164" fontId="0" fillId="4" borderId="1" xfId="1" applyFont="1" applyFill="1" applyBorder="1" applyAlignment="1" applyProtection="1">
      <alignment horizontal="center" vertical="center"/>
      <protection locked="0"/>
    </xf>
    <xf numFmtId="164" fontId="0" fillId="2" borderId="1" xfId="1" applyFont="1" applyFill="1" applyBorder="1" applyProtection="1"/>
    <xf numFmtId="164" fontId="0" fillId="4" borderId="1" xfId="1" applyFont="1" applyFill="1" applyBorder="1" applyProtection="1">
      <protection locked="0"/>
    </xf>
    <xf numFmtId="0" fontId="0" fillId="9" borderId="0" xfId="0" applyFill="1" applyAlignment="1">
      <alignment horizontal="left" indent="1"/>
    </xf>
    <xf numFmtId="165" fontId="0" fillId="9" borderId="0" xfId="2" applyFont="1" applyFill="1" applyAlignment="1">
      <alignment horizontal="left" indent="1"/>
    </xf>
    <xf numFmtId="165" fontId="0" fillId="9" borderId="0" xfId="0" applyNumberFormat="1" applyFill="1" applyAlignment="1">
      <alignment horizontal="left" indent="1"/>
    </xf>
    <xf numFmtId="0" fontId="0" fillId="9" borderId="0" xfId="0" applyFill="1" applyAlignment="1">
      <alignment horizontal="left" vertical="center" indent="1"/>
    </xf>
    <xf numFmtId="0" fontId="0" fillId="9" borderId="0" xfId="0" applyFill="1" applyProtection="1">
      <protection locked="0"/>
    </xf>
    <xf numFmtId="0" fontId="0" fillId="2" borderId="1" xfId="0" applyFill="1" applyBorder="1" applyAlignment="1">
      <alignment horizontal="left" vertical="center" wrapText="1"/>
    </xf>
    <xf numFmtId="0" fontId="0" fillId="4" borderId="1" xfId="0" applyFill="1" applyBorder="1" applyAlignment="1" applyProtection="1">
      <alignment horizontal="center" vertical="center"/>
      <protection locked="0"/>
    </xf>
    <xf numFmtId="0" fontId="0" fillId="2" borderId="1" xfId="0" applyFill="1" applyBorder="1" applyAlignment="1">
      <alignment horizontal="center" vertical="center" wrapText="1"/>
    </xf>
    <xf numFmtId="0" fontId="18" fillId="2" borderId="1" xfId="0" applyFont="1" applyFill="1" applyBorder="1" applyAlignment="1">
      <alignment horizontal="center" vertical="center"/>
    </xf>
    <xf numFmtId="2" fontId="18" fillId="2" borderId="1" xfId="0" applyNumberFormat="1" applyFont="1" applyFill="1" applyBorder="1" applyAlignment="1">
      <alignment horizontal="center" vertical="center"/>
    </xf>
    <xf numFmtId="0" fontId="2" fillId="3" borderId="1" xfId="0" applyFont="1" applyFill="1" applyBorder="1" applyAlignment="1">
      <alignment horizontal="left" indent="1"/>
    </xf>
    <xf numFmtId="0" fontId="2" fillId="3" borderId="1" xfId="0" applyFont="1" applyFill="1" applyBorder="1" applyAlignment="1">
      <alignment horizontal="center" vertical="center"/>
    </xf>
    <xf numFmtId="2" fontId="2" fillId="3" borderId="1" xfId="0" applyNumberFormat="1" applyFont="1" applyFill="1" applyBorder="1" applyAlignment="1">
      <alignment horizontal="center" vertical="center"/>
    </xf>
    <xf numFmtId="168" fontId="18" fillId="2" borderId="1" xfId="0" applyNumberFormat="1" applyFont="1" applyFill="1" applyBorder="1" applyAlignment="1">
      <alignment horizontal="center" vertical="center"/>
    </xf>
    <xf numFmtId="0" fontId="0" fillId="9" borderId="0" xfId="0" applyFill="1" applyAlignment="1" applyProtection="1">
      <alignment horizontal="center"/>
      <protection locked="0"/>
    </xf>
    <xf numFmtId="168" fontId="2" fillId="3" borderId="1" xfId="0" applyNumberFormat="1" applyFont="1" applyFill="1" applyBorder="1" applyAlignment="1">
      <alignment horizontal="center" vertical="center"/>
    </xf>
    <xf numFmtId="0" fontId="17" fillId="2" borderId="1" xfId="0" applyFont="1" applyFill="1" applyBorder="1" applyAlignment="1">
      <alignment horizontal="left" vertical="center"/>
    </xf>
    <xf numFmtId="2" fontId="0" fillId="2" borderId="1" xfId="0" applyNumberFormat="1" applyFill="1" applyBorder="1" applyAlignment="1">
      <alignment horizontal="center" vertical="center" wrapText="1"/>
    </xf>
    <xf numFmtId="164" fontId="18" fillId="2" borderId="1" xfId="0" applyNumberFormat="1" applyFont="1" applyFill="1" applyBorder="1" applyAlignment="1">
      <alignment horizontal="center" vertical="center"/>
    </xf>
    <xf numFmtId="164" fontId="18" fillId="2" borderId="0" xfId="0" applyNumberFormat="1" applyFont="1" applyFill="1" applyAlignment="1">
      <alignment horizontal="center" vertical="center"/>
    </xf>
    <xf numFmtId="166" fontId="2" fillId="3" borderId="1" xfId="0" applyNumberFormat="1" applyFont="1" applyFill="1" applyBorder="1" applyAlignment="1">
      <alignment horizontal="center" vertical="center"/>
    </xf>
    <xf numFmtId="0" fontId="2" fillId="9" borderId="0" xfId="0" applyFont="1" applyFill="1" applyAlignment="1" applyProtection="1">
      <alignment horizontal="center" vertical="center"/>
      <protection locked="0"/>
    </xf>
    <xf numFmtId="0" fontId="2" fillId="9" borderId="0" xfId="0" applyFont="1" applyFill="1" applyAlignment="1" applyProtection="1">
      <alignment horizontal="center" vertical="center" wrapText="1"/>
      <protection locked="0"/>
    </xf>
    <xf numFmtId="0" fontId="0" fillId="9" borderId="1" xfId="0" applyFill="1" applyBorder="1" applyAlignment="1" applyProtection="1">
      <alignment horizontal="left" indent="1"/>
      <protection locked="0"/>
    </xf>
    <xf numFmtId="0" fontId="18" fillId="9" borderId="1" xfId="0" applyFont="1" applyFill="1" applyBorder="1" applyAlignment="1" applyProtection="1">
      <alignment horizontal="center" vertical="center"/>
      <protection locked="0"/>
    </xf>
    <xf numFmtId="2" fontId="18" fillId="9" borderId="1" xfId="0" applyNumberFormat="1" applyFont="1" applyFill="1" applyBorder="1" applyAlignment="1" applyProtection="1">
      <alignment horizontal="center" vertical="center"/>
      <protection locked="0"/>
    </xf>
    <xf numFmtId="2" fontId="18" fillId="9" borderId="0" xfId="0" applyNumberFormat="1" applyFont="1" applyFill="1" applyAlignment="1" applyProtection="1">
      <alignment horizontal="center" vertical="center"/>
      <protection locked="0"/>
    </xf>
    <xf numFmtId="0" fontId="0" fillId="9" borderId="0" xfId="0" applyFill="1" applyAlignment="1" applyProtection="1">
      <alignment horizontal="centerContinuous"/>
      <protection locked="0"/>
    </xf>
    <xf numFmtId="0" fontId="2" fillId="9" borderId="1" xfId="0" applyFont="1" applyFill="1" applyBorder="1" applyAlignment="1" applyProtection="1">
      <alignment horizontal="left" indent="1"/>
      <protection locked="0"/>
    </xf>
    <xf numFmtId="0" fontId="2" fillId="9" borderId="1" xfId="0" applyFont="1" applyFill="1" applyBorder="1" applyAlignment="1" applyProtection="1">
      <alignment horizontal="center" vertical="center"/>
      <protection locked="0"/>
    </xf>
    <xf numFmtId="2" fontId="2" fillId="9" borderId="1" xfId="0" applyNumberFormat="1" applyFont="1" applyFill="1" applyBorder="1" applyAlignment="1" applyProtection="1">
      <alignment horizontal="center" vertical="center"/>
      <protection locked="0"/>
    </xf>
    <xf numFmtId="2" fontId="2" fillId="9" borderId="0" xfId="0" applyNumberFormat="1" applyFont="1" applyFill="1" applyAlignment="1" applyProtection="1">
      <alignment horizontal="center" vertical="center"/>
      <protection locked="0"/>
    </xf>
    <xf numFmtId="0" fontId="18" fillId="0" borderId="1" xfId="0" applyFont="1" applyBorder="1" applyAlignment="1" applyProtection="1">
      <alignment horizontal="center" vertical="center"/>
      <protection locked="0"/>
    </xf>
    <xf numFmtId="2" fontId="0" fillId="2" borderId="1" xfId="0" applyNumberFormat="1" applyFill="1" applyBorder="1" applyAlignment="1">
      <alignment horizontal="center" vertical="center"/>
    </xf>
    <xf numFmtId="164" fontId="0" fillId="2" borderId="1" xfId="1" applyFont="1" applyFill="1" applyBorder="1" applyAlignment="1" applyProtection="1">
      <alignment horizontal="center" vertical="center"/>
    </xf>
    <xf numFmtId="0" fontId="2" fillId="3" borderId="21" xfId="0" applyFont="1" applyFill="1" applyBorder="1" applyAlignment="1">
      <alignment horizontal="left" vertical="center"/>
    </xf>
    <xf numFmtId="0" fontId="0" fillId="9" borderId="0" xfId="0" applyFill="1" applyAlignment="1">
      <alignment vertical="center"/>
    </xf>
    <xf numFmtId="0" fontId="0" fillId="4" borderId="17" xfId="0" applyFill="1" applyBorder="1" applyAlignment="1">
      <alignment horizontal="center" vertical="center"/>
    </xf>
    <xf numFmtId="170" fontId="0" fillId="4" borderId="17" xfId="0" applyNumberFormat="1" applyFill="1" applyBorder="1" applyAlignment="1">
      <alignment horizontal="center" vertical="center"/>
    </xf>
    <xf numFmtId="14" fontId="0" fillId="9" borderId="0" xfId="0" applyNumberFormat="1" applyFill="1" applyAlignment="1">
      <alignment vertical="center"/>
    </xf>
    <xf numFmtId="0" fontId="17" fillId="2" borderId="17" xfId="0" applyFont="1" applyFill="1" applyBorder="1" applyAlignment="1">
      <alignment horizontal="center" vertical="center"/>
    </xf>
    <xf numFmtId="0" fontId="0" fillId="2" borderId="17" xfId="0" applyFill="1" applyBorder="1" applyAlignment="1">
      <alignment horizontal="center" vertical="center"/>
    </xf>
    <xf numFmtId="164" fontId="0" fillId="4" borderId="17" xfId="1" applyFont="1" applyFill="1" applyBorder="1" applyAlignment="1" applyProtection="1">
      <alignment horizontal="center" vertical="center"/>
    </xf>
    <xf numFmtId="0" fontId="0" fillId="4" borderId="20" xfId="0" applyFill="1" applyBorder="1" applyAlignment="1">
      <alignment vertical="center"/>
    </xf>
    <xf numFmtId="0" fontId="0" fillId="4" borderId="18" xfId="0" applyFill="1" applyBorder="1" applyAlignment="1">
      <alignment vertical="center"/>
    </xf>
    <xf numFmtId="0" fontId="16" fillId="8" borderId="0" xfId="0" applyFont="1" applyFill="1" applyAlignment="1">
      <alignment vertical="center"/>
    </xf>
    <xf numFmtId="0" fontId="0" fillId="8" borderId="0" xfId="0" applyFill="1" applyAlignment="1">
      <alignment vertical="center"/>
    </xf>
    <xf numFmtId="0" fontId="10" fillId="4" borderId="26" xfId="0" applyFont="1" applyFill="1" applyBorder="1" applyAlignment="1">
      <alignment horizontal="left"/>
    </xf>
    <xf numFmtId="0" fontId="0" fillId="4" borderId="18" xfId="0" applyFill="1" applyBorder="1" applyAlignment="1">
      <alignment horizontal="left"/>
    </xf>
    <xf numFmtId="0" fontId="2" fillId="3" borderId="0" xfId="0" applyFont="1" applyFill="1" applyAlignment="1">
      <alignment vertical="center"/>
    </xf>
    <xf numFmtId="0" fontId="0" fillId="0" borderId="0" xfId="0" applyAlignment="1">
      <alignment horizontal="left" vertical="center"/>
    </xf>
    <xf numFmtId="164" fontId="0" fillId="9" borderId="0" xfId="0" applyNumberFormat="1" applyFill="1" applyProtection="1">
      <protection locked="0"/>
    </xf>
    <xf numFmtId="164" fontId="17" fillId="2" borderId="1" xfId="0" applyNumberFormat="1" applyFont="1" applyFill="1" applyBorder="1" applyAlignment="1">
      <alignment horizontal="left" vertical="center"/>
    </xf>
    <xf numFmtId="0" fontId="0" fillId="4" borderId="0" xfId="0" applyFill="1" applyAlignment="1" applyProtection="1">
      <alignment horizontal="center" vertical="center"/>
      <protection locked="0"/>
    </xf>
    <xf numFmtId="0" fontId="0" fillId="9" borderId="0" xfId="0" applyFill="1" applyAlignment="1">
      <alignment vertical="center" wrapText="1"/>
    </xf>
    <xf numFmtId="0" fontId="19" fillId="4" borderId="0" xfId="0" applyFont="1" applyFill="1" applyAlignment="1">
      <alignment horizontal="center"/>
    </xf>
    <xf numFmtId="0" fontId="20" fillId="4" borderId="0" xfId="0" applyFont="1" applyFill="1"/>
    <xf numFmtId="0" fontId="2" fillId="3" borderId="0" xfId="0" applyFont="1" applyFill="1" applyAlignment="1">
      <alignment horizontal="left"/>
    </xf>
    <xf numFmtId="164" fontId="17" fillId="2" borderId="0" xfId="1" applyFont="1" applyFill="1" applyBorder="1" applyAlignment="1">
      <alignment horizontal="center" vertical="center"/>
    </xf>
    <xf numFmtId="165" fontId="2" fillId="3" borderId="0" xfId="2" applyFont="1" applyFill="1" applyBorder="1" applyAlignment="1">
      <alignment horizontal="left" indent="1"/>
    </xf>
    <xf numFmtId="0" fontId="0" fillId="4" borderId="0" xfId="0" applyFill="1"/>
    <xf numFmtId="165" fontId="0" fillId="4" borderId="0" xfId="2" applyFont="1" applyFill="1"/>
    <xf numFmtId="165" fontId="0" fillId="0" borderId="0" xfId="2" applyFont="1"/>
    <xf numFmtId="164" fontId="0" fillId="4" borderId="1" xfId="0" applyNumberFormat="1" applyFill="1" applyBorder="1" applyAlignment="1" applyProtection="1">
      <alignment horizontal="center" vertical="center"/>
      <protection locked="0"/>
    </xf>
    <xf numFmtId="0" fontId="3" fillId="0" borderId="30" xfId="0" applyFont="1" applyBorder="1"/>
    <xf numFmtId="0" fontId="3" fillId="0" borderId="31" xfId="0" applyFont="1" applyBorder="1"/>
    <xf numFmtId="1" fontId="3" fillId="0" borderId="31" xfId="0" applyNumberFormat="1" applyFont="1" applyBorder="1"/>
    <xf numFmtId="1" fontId="3" fillId="0" borderId="32" xfId="0" applyNumberFormat="1" applyFont="1" applyBorder="1"/>
    <xf numFmtId="0" fontId="5" fillId="3" borderId="0" xfId="0" applyFont="1" applyFill="1" applyAlignment="1">
      <alignment horizontal="left" vertical="center" wrapText="1"/>
    </xf>
    <xf numFmtId="2" fontId="3" fillId="2" borderId="1" xfId="0" applyNumberFormat="1" applyFont="1" applyFill="1" applyBorder="1" applyAlignment="1">
      <alignment horizontal="right"/>
    </xf>
    <xf numFmtId="165" fontId="5" fillId="3" borderId="0" xfId="0" applyNumberFormat="1" applyFont="1" applyFill="1" applyAlignment="1">
      <alignment horizontal="right" vertical="center" wrapText="1"/>
    </xf>
    <xf numFmtId="0" fontId="4" fillId="3" borderId="1" xfId="0" applyFont="1" applyFill="1" applyBorder="1" applyAlignment="1">
      <alignment horizontal="left" indent="1"/>
    </xf>
    <xf numFmtId="0" fontId="8" fillId="2" borderId="1" xfId="0" applyFont="1" applyFill="1" applyBorder="1" applyAlignment="1">
      <alignment horizontal="left" vertical="center"/>
    </xf>
    <xf numFmtId="0" fontId="8" fillId="2" borderId="1" xfId="0" applyFont="1" applyFill="1" applyBorder="1" applyAlignment="1">
      <alignment horizontal="center" vertical="center"/>
    </xf>
    <xf numFmtId="164" fontId="4" fillId="3" borderId="1" xfId="1" applyFont="1" applyFill="1" applyBorder="1" applyAlignment="1">
      <alignment horizontal="center" vertical="center"/>
    </xf>
    <xf numFmtId="165" fontId="4" fillId="3" borderId="1" xfId="2" applyFont="1" applyFill="1" applyBorder="1" applyAlignment="1">
      <alignment horizontal="center" vertical="center"/>
    </xf>
    <xf numFmtId="165" fontId="0" fillId="0" borderId="0" xfId="2" applyFont="1" applyAlignment="1">
      <alignment horizontal="center"/>
    </xf>
    <xf numFmtId="0" fontId="10" fillId="0" borderId="0" xfId="0" applyFont="1"/>
    <xf numFmtId="0" fontId="6" fillId="0" borderId="0" xfId="0" applyFont="1" applyAlignment="1">
      <alignment vertical="center"/>
    </xf>
    <xf numFmtId="165" fontId="0" fillId="2" borderId="1" xfId="0" applyNumberFormat="1" applyFill="1" applyBorder="1" applyAlignment="1" applyProtection="1">
      <alignment horizontal="center"/>
      <protection locked="0"/>
    </xf>
    <xf numFmtId="2" fontId="17" fillId="2" borderId="1" xfId="0" applyNumberFormat="1" applyFont="1" applyFill="1" applyBorder="1" applyAlignment="1">
      <alignment horizontal="left" vertical="center"/>
    </xf>
    <xf numFmtId="165" fontId="0" fillId="0" borderId="0" xfId="2" applyFont="1" applyProtection="1">
      <protection locked="0"/>
    </xf>
    <xf numFmtId="0" fontId="0" fillId="2" borderId="19" xfId="0" applyFill="1" applyBorder="1" applyAlignment="1">
      <alignment horizontal="left" vertical="center"/>
    </xf>
    <xf numFmtId="0" fontId="17" fillId="2" borderId="19" xfId="0" applyFont="1" applyFill="1" applyBorder="1" applyAlignment="1">
      <alignment horizontal="left" vertical="center"/>
    </xf>
    <xf numFmtId="0" fontId="0" fillId="0" borderId="0" xfId="0" applyAlignment="1">
      <alignment horizontal="left" vertical="center" wrapText="1" indent="1"/>
    </xf>
    <xf numFmtId="0" fontId="2" fillId="3" borderId="0" xfId="0" applyFont="1" applyFill="1" applyAlignment="1">
      <alignment horizontal="centerContinuous" vertical="center"/>
    </xf>
    <xf numFmtId="0" fontId="2" fillId="3" borderId="0" xfId="0" applyFont="1" applyFill="1" applyAlignment="1">
      <alignment horizontal="centerContinuous" vertical="distributed"/>
    </xf>
    <xf numFmtId="0" fontId="2" fillId="3" borderId="0" xfId="0" applyFont="1" applyFill="1" applyAlignment="1">
      <alignment horizontal="centerContinuous"/>
    </xf>
    <xf numFmtId="0" fontId="0" fillId="2" borderId="1" xfId="0" applyFill="1" applyBorder="1" applyAlignment="1">
      <alignment horizontal="left" vertical="center" indent="1"/>
    </xf>
    <xf numFmtId="164" fontId="0" fillId="2" borderId="1" xfId="0" applyNumberFormat="1" applyFill="1" applyBorder="1" applyAlignment="1">
      <alignment horizontal="center" vertical="center"/>
    </xf>
    <xf numFmtId="164" fontId="2" fillId="3" borderId="1" xfId="0" applyNumberFormat="1" applyFont="1" applyFill="1" applyBorder="1" applyAlignment="1">
      <alignment horizontal="centerContinuous"/>
    </xf>
    <xf numFmtId="164" fontId="2" fillId="3" borderId="1" xfId="0" applyNumberFormat="1" applyFont="1" applyFill="1" applyBorder="1" applyAlignment="1">
      <alignment horizontal="center" vertical="center"/>
    </xf>
    <xf numFmtId="0" fontId="2" fillId="3" borderId="1" xfId="0" applyFont="1" applyFill="1" applyBorder="1" applyAlignment="1">
      <alignment horizontal="center"/>
    </xf>
    <xf numFmtId="164" fontId="2" fillId="3" borderId="1" xfId="1" applyFont="1" applyFill="1" applyBorder="1" applyAlignment="1" applyProtection="1">
      <alignment horizontal="center"/>
    </xf>
    <xf numFmtId="164" fontId="2" fillId="3" borderId="1" xfId="0" applyNumberFormat="1" applyFont="1" applyFill="1" applyBorder="1" applyAlignment="1">
      <alignment horizontal="center"/>
    </xf>
    <xf numFmtId="0" fontId="0" fillId="0" borderId="0" xfId="0" applyAlignment="1">
      <alignment wrapText="1"/>
    </xf>
    <xf numFmtId="0" fontId="0" fillId="0" borderId="0" xfId="0" applyAlignment="1">
      <alignment vertical="center" wrapText="1"/>
    </xf>
    <xf numFmtId="0" fontId="21" fillId="0" borderId="0" xfId="0" applyFont="1" applyAlignment="1">
      <alignment horizontal="left" indent="2"/>
    </xf>
    <xf numFmtId="0" fontId="0" fillId="0" borderId="0" xfId="0" applyAlignment="1">
      <alignment horizontal="left" vertical="center" indent="2"/>
    </xf>
    <xf numFmtId="0" fontId="10" fillId="0" borderId="0" xfId="0" applyFont="1" applyAlignment="1">
      <alignment horizontal="left" vertical="center" wrapText="1" indent="2"/>
    </xf>
    <xf numFmtId="0" fontId="0" fillId="0" borderId="0" xfId="0" applyAlignment="1">
      <alignment horizontal="left" wrapText="1" indent="2"/>
    </xf>
    <xf numFmtId="0" fontId="0" fillId="0" borderId="0" xfId="0" applyAlignment="1">
      <alignment horizontal="left" indent="2"/>
    </xf>
    <xf numFmtId="0" fontId="10" fillId="0" borderId="0" xfId="0" applyFont="1" applyAlignment="1">
      <alignment horizontal="left" vertical="center" indent="2"/>
    </xf>
    <xf numFmtId="0" fontId="17" fillId="2" borderId="1" xfId="0" applyFont="1" applyFill="1" applyBorder="1"/>
    <xf numFmtId="0" fontId="17" fillId="2" borderId="1" xfId="0" applyFont="1" applyFill="1" applyBorder="1" applyAlignment="1">
      <alignment horizontal="left" indent="1"/>
    </xf>
    <xf numFmtId="0" fontId="17" fillId="2" borderId="0" xfId="0" applyFont="1" applyFill="1" applyAlignment="1">
      <alignment horizontal="left" indent="1"/>
    </xf>
    <xf numFmtId="0" fontId="17" fillId="2" borderId="0" xfId="0" applyFont="1" applyFill="1" applyAlignment="1">
      <alignment horizontal="center"/>
    </xf>
    <xf numFmtId="0" fontId="17" fillId="2" borderId="1" xfId="0" applyFont="1" applyFill="1" applyBorder="1" applyAlignment="1">
      <alignment horizontal="center"/>
    </xf>
    <xf numFmtId="0" fontId="17" fillId="2" borderId="16" xfId="0" applyFont="1" applyFill="1" applyBorder="1"/>
    <xf numFmtId="165" fontId="0" fillId="0" borderId="0" xfId="2" applyFont="1" applyAlignment="1" applyProtection="1">
      <alignment horizontal="right"/>
      <protection locked="0"/>
    </xf>
    <xf numFmtId="165" fontId="0" fillId="0" borderId="0" xfId="0" applyNumberFormat="1" applyAlignment="1" applyProtection="1">
      <alignment horizontal="right"/>
      <protection locked="0"/>
    </xf>
    <xf numFmtId="0" fontId="0" fillId="0" borderId="0" xfId="0" applyAlignment="1" applyProtection="1">
      <alignment horizontal="left" vertical="top"/>
      <protection locked="0"/>
    </xf>
    <xf numFmtId="2" fontId="0" fillId="0" borderId="0" xfId="0" applyNumberFormat="1" applyProtection="1">
      <protection locked="0"/>
    </xf>
    <xf numFmtId="165" fontId="0" fillId="0" borderId="0" xfId="2" applyFont="1" applyAlignment="1" applyProtection="1">
      <alignment horizontal="right" vertical="top"/>
      <protection locked="0"/>
    </xf>
    <xf numFmtId="166" fontId="0" fillId="0" borderId="0" xfId="2" applyNumberFormat="1" applyFont="1" applyProtection="1">
      <protection locked="0"/>
    </xf>
    <xf numFmtId="1" fontId="17" fillId="2" borderId="15" xfId="0" applyNumberFormat="1" applyFont="1" applyFill="1" applyBorder="1" applyAlignment="1">
      <alignment horizontal="right" vertical="center"/>
    </xf>
    <xf numFmtId="2" fontId="17" fillId="2" borderId="3" xfId="0" applyNumberFormat="1" applyFont="1" applyFill="1" applyBorder="1" applyAlignment="1">
      <alignment horizontal="right" vertical="center"/>
    </xf>
    <xf numFmtId="9" fontId="17" fillId="2" borderId="1" xfId="4" applyFont="1" applyFill="1" applyBorder="1" applyAlignment="1" applyProtection="1">
      <alignment horizontal="center" vertical="center"/>
    </xf>
    <xf numFmtId="164" fontId="17" fillId="2" borderId="1" xfId="1" applyFont="1" applyFill="1" applyBorder="1" applyAlignment="1" applyProtection="1">
      <alignment horizontal="center" vertical="center"/>
    </xf>
    <xf numFmtId="164" fontId="17" fillId="2" borderId="15" xfId="1" applyFont="1" applyFill="1" applyBorder="1" applyAlignment="1" applyProtection="1">
      <alignment horizontal="right" vertical="center"/>
    </xf>
    <xf numFmtId="164" fontId="17" fillId="2" borderId="3" xfId="1" applyFont="1" applyFill="1" applyBorder="1" applyAlignment="1" applyProtection="1">
      <alignment horizontal="right" vertical="center"/>
    </xf>
    <xf numFmtId="0" fontId="2" fillId="3" borderId="1" xfId="0" applyFont="1" applyFill="1" applyBorder="1"/>
    <xf numFmtId="0" fontId="2" fillId="3" borderId="24" xfId="0" applyFont="1" applyFill="1" applyBorder="1" applyAlignment="1">
      <alignment horizontal="left" indent="1"/>
    </xf>
    <xf numFmtId="165" fontId="2" fillId="3" borderId="1" xfId="2" applyFont="1" applyFill="1" applyBorder="1" applyAlignment="1" applyProtection="1">
      <alignment horizontal="left" indent="1"/>
    </xf>
    <xf numFmtId="9" fontId="17" fillId="4" borderId="1" xfId="4" applyFont="1" applyFill="1" applyBorder="1" applyAlignment="1" applyProtection="1">
      <alignment horizontal="center" vertical="center"/>
      <protection locked="0"/>
    </xf>
    <xf numFmtId="0" fontId="13" fillId="0" borderId="0" xfId="0" applyFont="1"/>
    <xf numFmtId="0" fontId="14" fillId="0" borderId="0" xfId="0" applyFont="1"/>
    <xf numFmtId="0" fontId="4" fillId="3" borderId="0" xfId="0" applyFont="1" applyFill="1" applyAlignment="1">
      <alignment horizontal="left" vertical="center"/>
    </xf>
    <xf numFmtId="0" fontId="4" fillId="3" borderId="0" xfId="0" applyFont="1" applyFill="1" applyAlignment="1">
      <alignment horizontal="left" vertical="center" wrapText="1"/>
    </xf>
    <xf numFmtId="1" fontId="8" fillId="2" borderId="0" xfId="0" applyNumberFormat="1" applyFont="1" applyFill="1" applyAlignment="1">
      <alignment horizontal="center" vertical="center"/>
    </xf>
    <xf numFmtId="9" fontId="8" fillId="2" borderId="0" xfId="4" applyFont="1" applyFill="1" applyAlignment="1" applyProtection="1">
      <alignment horizontal="center" vertical="center"/>
    </xf>
    <xf numFmtId="0" fontId="3" fillId="2" borderId="0" xfId="0" applyFont="1" applyFill="1" applyAlignment="1">
      <alignment horizontal="center"/>
    </xf>
    <xf numFmtId="1" fontId="3" fillId="2" borderId="0" xfId="0" applyNumberFormat="1" applyFont="1" applyFill="1" applyAlignment="1">
      <alignment horizontal="center"/>
    </xf>
    <xf numFmtId="168" fontId="3" fillId="2" borderId="0" xfId="0" applyNumberFormat="1" applyFont="1" applyFill="1" applyAlignment="1">
      <alignment horizontal="center"/>
    </xf>
    <xf numFmtId="0" fontId="4" fillId="3" borderId="0" xfId="0" applyFont="1" applyFill="1" applyAlignment="1">
      <alignment horizontal="left"/>
    </xf>
    <xf numFmtId="1" fontId="22" fillId="2" borderId="0" xfId="0" applyNumberFormat="1" applyFont="1" applyFill="1" applyAlignment="1">
      <alignment horizontal="left" vertical="center"/>
    </xf>
    <xf numFmtId="9" fontId="3" fillId="0" borderId="0" xfId="0" quotePrefix="1" applyNumberFormat="1" applyFont="1" applyAlignment="1" applyProtection="1">
      <alignment horizontal="center"/>
      <protection locked="0"/>
    </xf>
    <xf numFmtId="9" fontId="3" fillId="0" borderId="0" xfId="0" applyNumberFormat="1" applyFont="1" applyAlignment="1" applyProtection="1">
      <alignment horizontal="center"/>
      <protection locked="0"/>
    </xf>
    <xf numFmtId="0" fontId="3" fillId="0" borderId="0" xfId="0" applyFont="1" applyAlignment="1" applyProtection="1">
      <alignment horizontal="center"/>
      <protection locked="0"/>
    </xf>
    <xf numFmtId="1" fontId="17" fillId="2" borderId="15" xfId="0" applyNumberFormat="1" applyFont="1" applyFill="1" applyBorder="1" applyAlignment="1">
      <alignment horizontal="left" vertical="center"/>
    </xf>
    <xf numFmtId="164" fontId="0" fillId="4" borderId="28" xfId="1" applyFont="1" applyFill="1" applyBorder="1" applyAlignment="1" applyProtection="1">
      <alignment vertical="center" wrapText="1"/>
    </xf>
    <xf numFmtId="164" fontId="0" fillId="4" borderId="29" xfId="1" applyFont="1" applyFill="1" applyBorder="1" applyAlignment="1" applyProtection="1">
      <alignment vertical="center" wrapText="1"/>
    </xf>
    <xf numFmtId="0" fontId="0" fillId="4" borderId="27" xfId="0" applyFill="1" applyBorder="1" applyAlignment="1">
      <alignment horizontal="center" vertical="center"/>
    </xf>
    <xf numFmtId="0" fontId="0" fillId="4" borderId="25" xfId="0" applyFill="1" applyBorder="1" applyAlignment="1">
      <alignment horizontal="center" vertical="center"/>
    </xf>
    <xf numFmtId="0" fontId="0" fillId="0" borderId="0" xfId="0" applyAlignment="1">
      <alignment horizontal="center" vertical="center" wrapText="1"/>
    </xf>
    <xf numFmtId="0" fontId="12" fillId="0" borderId="0" xfId="3" applyAlignment="1">
      <alignment horizontal="left" vertical="center" wrapText="1"/>
    </xf>
    <xf numFmtId="0" fontId="19" fillId="4" borderId="0" xfId="0" applyFont="1" applyFill="1" applyAlignment="1">
      <alignment horizontal="center"/>
    </xf>
    <xf numFmtId="0" fontId="20" fillId="4" borderId="0" xfId="0" applyFont="1" applyFill="1"/>
    <xf numFmtId="0" fontId="20" fillId="4" borderId="23" xfId="0" applyFont="1" applyFill="1" applyBorder="1"/>
  </cellXfs>
  <cellStyles count="5">
    <cellStyle name="Comma" xfId="2" builtinId="3"/>
    <cellStyle name="Currency" xfId="1" builtinId="4"/>
    <cellStyle name="Hyperlink" xfId="3" builtinId="8"/>
    <cellStyle name="Normal" xfId="0" builtinId="0"/>
    <cellStyle name="Percent" xfId="4" builtinId="5"/>
  </cellStyles>
  <dxfs count="3">
    <dxf>
      <font>
        <color theme="0"/>
      </font>
      <fill>
        <patternFill>
          <bgColor rgb="FFFF0000"/>
        </patternFill>
      </fill>
    </dxf>
    <dxf>
      <font>
        <color theme="0"/>
      </font>
      <fill>
        <patternFill>
          <bgColor rgb="FFFF0000"/>
        </patternFill>
      </fill>
    </dxf>
    <dxf>
      <font>
        <color theme="0"/>
      </font>
      <fill>
        <patternFill>
          <bgColor rgb="FFFF0000"/>
        </patternFill>
      </fill>
    </dxf>
  </dxfs>
  <tableStyles count="0" defaultTableStyle="TableStyleMedium2" defaultPivotStyle="PivotStyleLight16"/>
  <colors>
    <mruColors>
      <color rgb="FF5036EA"/>
      <color rgb="FF3D6A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 Id="rId27" Type="http://schemas.openxmlformats.org/officeDocument/2006/relationships/customXml" Target="../customXml/item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Cost Impact of Parameter Adjustments</a:t>
            </a:r>
          </a:p>
        </c:rich>
      </c:tx>
      <c:layout>
        <c:manualLayout>
          <c:xMode val="edge"/>
          <c:yMode val="edge"/>
          <c:x val="0.20729178394496678"/>
          <c:y val="1.0020957906577468E-2"/>
        </c:manualLayout>
      </c:layout>
      <c:overlay val="0"/>
    </c:title>
    <c:autoTitleDeleted val="0"/>
    <c:plotArea>
      <c:layout>
        <c:manualLayout>
          <c:layoutTarget val="inner"/>
          <c:xMode val="edge"/>
          <c:yMode val="edge"/>
          <c:x val="5.752921428715492E-2"/>
          <c:y val="0.12918003670593808"/>
          <c:w val="0.89943728923912614"/>
          <c:h val="0.5749656060650411"/>
        </c:manualLayout>
      </c:layout>
      <c:barChart>
        <c:barDir val="col"/>
        <c:grouping val="clustered"/>
        <c:varyColors val="0"/>
        <c:ser>
          <c:idx val="0"/>
          <c:order val="0"/>
          <c:tx>
            <c:strRef>
              <c:f>'N. Sensitivity analysis'!$F$3</c:f>
              <c:strCache>
                <c:ptCount val="1"/>
                <c:pt idx="0">
                  <c:v>Estimated Cost Impact (USD)</c:v>
                </c:pt>
              </c:strCache>
            </c:strRef>
          </c:tx>
          <c:invertIfNegative val="0"/>
          <c:dLbls>
            <c:numFmt formatCode="&quot;$&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'N. Sensitivity analysis'!$A$4:$A$10</c:f>
              <c:strCache>
                <c:ptCount val="6"/>
                <c:pt idx="0">
                  <c:v>Number of Farmers</c:v>
                </c:pt>
                <c:pt idx="1">
                  <c:v>Monitoring Visits (Research)</c:v>
                </c:pt>
                <c:pt idx="2">
                  <c:v>Monitoring Visits (Extension)</c:v>
                </c:pt>
                <c:pt idx="3">
                  <c:v>Travel Cost</c:v>
                </c:pt>
                <c:pt idx="4">
                  <c:v>Labour Cost</c:v>
                </c:pt>
                <c:pt idx="5">
                  <c:v>Material Costs</c:v>
                </c:pt>
              </c:strCache>
            </c:strRef>
          </c:cat>
          <c:val>
            <c:numRef>
              <c:f>'N. Sensitivity analysis'!$F$4:$F$10</c:f>
              <c:numCache>
                <c:formatCode>_("$"* #,##0.00_);_("$"* \(#,##0.00\);_("$"* "-"??_);_(@_)</c:formatCode>
                <c:ptCount val="7"/>
                <c:pt idx="0">
                  <c:v>0</c:v>
                </c:pt>
                <c:pt idx="1">
                  <c:v>0</c:v>
                </c:pt>
                <c:pt idx="2">
                  <c:v>0</c:v>
                </c:pt>
                <c:pt idx="3">
                  <c:v>0</c:v>
                </c:pt>
                <c:pt idx="4">
                  <c:v>0</c:v>
                </c:pt>
                <c:pt idx="5">
                  <c:v>0</c:v>
                </c:pt>
              </c:numCache>
            </c:numRef>
          </c:val>
          <c:extLst>
            <c:ext xmlns:c16="http://schemas.microsoft.com/office/drawing/2014/chart" uri="{C3380CC4-5D6E-409C-BE32-E72D297353CC}">
              <c16:uniqueId val="{00000000-26FB-45C1-BDE9-82DDB4249FAA}"/>
            </c:ext>
          </c:extLst>
        </c:ser>
        <c:dLbls>
          <c:showLegendKey val="0"/>
          <c:showVal val="0"/>
          <c:showCatName val="0"/>
          <c:showSerName val="0"/>
          <c:showPercent val="0"/>
          <c:showBubbleSize val="0"/>
        </c:dLbls>
        <c:gapWidth val="150"/>
        <c:axId val="50010001"/>
        <c:axId val="50010002"/>
      </c:barChart>
      <c:catAx>
        <c:axId val="50010001"/>
        <c:scaling>
          <c:orientation val="minMax"/>
        </c:scaling>
        <c:delete val="0"/>
        <c:axPos val="b"/>
        <c:title>
          <c:tx>
            <c:rich>
              <a:bodyPr/>
              <a:lstStyle/>
              <a:p>
                <a:pPr>
                  <a:defRPr/>
                </a:pPr>
                <a:r>
                  <a:rPr lang="en-US"/>
                  <a:t>Cost driver</a:t>
                </a:r>
              </a:p>
            </c:rich>
          </c:tx>
          <c:overlay val="0"/>
        </c:title>
        <c:numFmt formatCode="General" sourceLinked="0"/>
        <c:majorTickMark val="out"/>
        <c:minorTickMark val="none"/>
        <c:tickLblPos val="nextTo"/>
        <c:txPr>
          <a:bodyPr rot="-5400000" vert="horz"/>
          <a:lstStyle/>
          <a:p>
            <a:pPr>
              <a:defRPr/>
            </a:pPr>
            <a:endParaRPr lang="en-US"/>
          </a:p>
        </c:txPr>
        <c:crossAx val="50010002"/>
        <c:crosses val="autoZero"/>
        <c:auto val="1"/>
        <c:lblAlgn val="ctr"/>
        <c:lblOffset val="1"/>
        <c:tickLblSkip val="1"/>
        <c:noMultiLvlLbl val="0"/>
      </c:catAx>
      <c:valAx>
        <c:axId val="50010002"/>
        <c:scaling>
          <c:orientation val="minMax"/>
        </c:scaling>
        <c:delete val="1"/>
        <c:axPos val="l"/>
        <c:title>
          <c:tx>
            <c:rich>
              <a:bodyPr/>
              <a:lstStyle/>
              <a:p>
                <a:pPr>
                  <a:defRPr/>
                </a:pPr>
                <a:r>
                  <a:rPr lang="en-US"/>
                  <a:t>Estimated Cost (USD)</a:t>
                </a:r>
              </a:p>
            </c:rich>
          </c:tx>
          <c:overlay val="0"/>
        </c:title>
        <c:numFmt formatCode="_(&quot;$&quot;* #,##0.00_);_(&quot;$&quot;* \(#,##0.00\);_(&quot;$&quot;* &quot;-&quot;??_);_(@_)" sourceLinked="1"/>
        <c:majorTickMark val="out"/>
        <c:minorTickMark val="none"/>
        <c:tickLblPos val="nextTo"/>
        <c:crossAx val="50010001"/>
        <c:crosses val="autoZero"/>
        <c:crossBetween val="between"/>
      </c:valAx>
    </c:plotArea>
    <c:plotVisOnly val="1"/>
    <c:dispBlanksAs val="gap"/>
    <c:showDLblsOverMax val="0"/>
  </c:chart>
  <c:spPr>
    <a:ln w="19050">
      <a:solidFill>
        <a:schemeClr val="tx1"/>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kern="1200" spc="0" baseline="0">
                <a:solidFill>
                  <a:schemeClr val="tx1"/>
                </a:solidFill>
                <a:latin typeface="+mn-lt"/>
                <a:ea typeface="+mn-ea"/>
                <a:cs typeface="+mn-cs"/>
              </a:defRPr>
            </a:pPr>
            <a:r>
              <a:rPr lang="en-US" b="1"/>
              <a:t>Scenario-wise total cost projection</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'O. Scenario analysis'!$N$4</c:f>
              <c:strCache>
                <c:ptCount val="1"/>
                <c:pt idx="0">
                  <c:v>Estimated Total 
Cost (USD)</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 Scenario analysis'!$C$5:$C$11</c:f>
              <c:strCache>
                <c:ptCount val="7"/>
                <c:pt idx="0">
                  <c:v>Baseline</c:v>
                </c:pt>
                <c:pt idx="1">
                  <c:v>Farmers</c:v>
                </c:pt>
                <c:pt idx="2">
                  <c:v>Monitoring</c:v>
                </c:pt>
                <c:pt idx="3">
                  <c:v>Fuel cost index</c:v>
                </c:pt>
                <c:pt idx="4">
                  <c:v>Labor cost index</c:v>
                </c:pt>
                <c:pt idx="5">
                  <c:v>Material cost index</c:v>
                </c:pt>
                <c:pt idx="6">
                  <c:v>All of the above</c:v>
                </c:pt>
              </c:strCache>
            </c:strRef>
          </c:cat>
          <c:val>
            <c:numRef>
              <c:f>'O. Scenario analysis'!$N$5:$N$11</c:f>
              <c:numCache>
                <c:formatCode>_("$"* #,##0.00_);_("$"* \(#,##0.00\);_("$"* "-"??_);_(@_)</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F45F-45FF-91E6-1D5996E986B1}"/>
            </c:ext>
          </c:extLst>
        </c:ser>
        <c:dLbls>
          <c:showLegendKey val="0"/>
          <c:showVal val="0"/>
          <c:showCatName val="0"/>
          <c:showSerName val="0"/>
          <c:showPercent val="0"/>
          <c:showBubbleSize val="0"/>
        </c:dLbls>
        <c:gapWidth val="150"/>
        <c:axId val="974725904"/>
        <c:axId val="974712944"/>
        <c:extLst>
          <c:ext xmlns:c15="http://schemas.microsoft.com/office/drawing/2012/chart" uri="{02D57815-91ED-43cb-92C2-25804820EDAC}">
            <c15:filteredBarSeries>
              <c15:ser>
                <c:idx val="1"/>
                <c:order val="1"/>
                <c:tx>
                  <c:strRef>
                    <c:extLst>
                      <c:ext uri="{02D57815-91ED-43cb-92C2-25804820EDAC}">
                        <c15:formulaRef>
                          <c15:sqref>'O. Scenario analysis'!$O$4</c15:sqref>
                        </c15:formulaRef>
                      </c:ext>
                    </c:extLst>
                    <c:strCache>
                      <c:ptCount val="1"/>
                      <c:pt idx="0">
                        <c:v>% change in 
Total costs </c:v>
                      </c:pt>
                    </c:strCache>
                  </c:strRef>
                </c:tx>
                <c:spPr>
                  <a:solidFill>
                    <a:schemeClr val="accent2"/>
                  </a:solidFill>
                  <a:ln>
                    <a:noFill/>
                  </a:ln>
                  <a:effectLst/>
                </c:spPr>
                <c:invertIfNegative val="0"/>
                <c:cat>
                  <c:strRef>
                    <c:extLst>
                      <c:ext uri="{02D57815-91ED-43cb-92C2-25804820EDAC}">
                        <c15:formulaRef>
                          <c15:sqref>'O. Scenario analysis'!$C$5:$C$11</c15:sqref>
                        </c15:formulaRef>
                      </c:ext>
                    </c:extLst>
                    <c:strCache>
                      <c:ptCount val="7"/>
                      <c:pt idx="0">
                        <c:v>Baseline</c:v>
                      </c:pt>
                      <c:pt idx="1">
                        <c:v>Farmers</c:v>
                      </c:pt>
                      <c:pt idx="2">
                        <c:v>Monitoring</c:v>
                      </c:pt>
                      <c:pt idx="3">
                        <c:v>Fuel cost index</c:v>
                      </c:pt>
                      <c:pt idx="4">
                        <c:v>Labor cost index</c:v>
                      </c:pt>
                      <c:pt idx="5">
                        <c:v>Material cost index</c:v>
                      </c:pt>
                      <c:pt idx="6">
                        <c:v>All of the above</c:v>
                      </c:pt>
                    </c:strCache>
                  </c:strRef>
                </c:cat>
                <c:val>
                  <c:numRef>
                    <c:extLst>
                      <c:ext uri="{02D57815-91ED-43cb-92C2-25804820EDAC}">
                        <c15:formulaRef>
                          <c15:sqref>'O. Scenario analysis'!$O$5:$O$11</c15:sqref>
                        </c15:formulaRef>
                      </c:ext>
                    </c:extLst>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6-39D7-4F42-9D64-ED2BC9FBAF05}"/>
                  </c:ext>
                </c:extLst>
              </c15:ser>
            </c15:filteredBarSeries>
          </c:ext>
        </c:extLst>
      </c:barChart>
      <c:catAx>
        <c:axId val="974725904"/>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r>
                  <a:rPr lang="en-US" b="1"/>
                  <a:t>Cost driver</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title>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50" b="0" i="0" u="none" strike="noStrike" kern="1200" baseline="0">
                <a:solidFill>
                  <a:schemeClr val="tx1"/>
                </a:solidFill>
                <a:latin typeface="+mn-lt"/>
                <a:ea typeface="+mn-ea"/>
                <a:cs typeface="+mn-cs"/>
              </a:defRPr>
            </a:pPr>
            <a:endParaRPr lang="en-US"/>
          </a:p>
        </c:txPr>
        <c:crossAx val="974712944"/>
        <c:crosses val="autoZero"/>
        <c:auto val="1"/>
        <c:lblAlgn val="ctr"/>
        <c:lblOffset val="100"/>
        <c:noMultiLvlLbl val="0"/>
      </c:catAx>
      <c:valAx>
        <c:axId val="974712944"/>
        <c:scaling>
          <c:orientation val="minMax"/>
        </c:scaling>
        <c:delete val="1"/>
        <c:axPos val="l"/>
        <c:title>
          <c:tx>
            <c:rich>
              <a:bodyPr rot="-5400000" spcFirstLastPara="1" vertOverflow="ellipsis" vert="horz" wrap="square" anchor="ctr" anchorCtr="1"/>
              <a:lstStyle/>
              <a:p>
                <a:pPr>
                  <a:defRPr sz="1050" b="1" i="0" u="none" strike="noStrike" kern="1200" baseline="0">
                    <a:solidFill>
                      <a:schemeClr val="tx1"/>
                    </a:solidFill>
                    <a:latin typeface="+mn-lt"/>
                    <a:ea typeface="+mn-ea"/>
                    <a:cs typeface="+mn-cs"/>
                  </a:defRPr>
                </a:pPr>
                <a:r>
                  <a:rPr lang="en-US" b="1"/>
                  <a:t>Total Cost (USD)</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title>
        <c:numFmt formatCode="0" sourceLinked="0"/>
        <c:majorTickMark val="out"/>
        <c:minorTickMark val="none"/>
        <c:tickLblPos val="nextTo"/>
        <c:crossAx val="97472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sz="1050">
          <a:solidFill>
            <a:schemeClr val="tx1"/>
          </a:solidFill>
          <a:latin typeface="+mn-lt"/>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4.png"/><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customXml" Target="../ink/ink3.xml"/><Relationship Id="rId5" Type="http://schemas.openxmlformats.org/officeDocument/2006/relationships/image" Target="../media/image3.png"/><Relationship Id="rId4" Type="http://schemas.openxmlformats.org/officeDocument/2006/relationships/customXml" Target="../ink/ink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3</xdr:col>
      <xdr:colOff>656970</xdr:colOff>
      <xdr:row>36</xdr:row>
      <xdr:rowOff>66240</xdr:rowOff>
    </xdr:from>
    <xdr:to>
      <xdr:col>3</xdr:col>
      <xdr:colOff>657330</xdr:colOff>
      <xdr:row>36</xdr:row>
      <xdr:rowOff>66600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0" name="Ink 9">
              <a:extLst>
                <a:ext uri="{FF2B5EF4-FFF2-40B4-BE49-F238E27FC236}">
                  <a16:creationId xmlns:a16="http://schemas.microsoft.com/office/drawing/2014/main" id="{71CDE3C6-4C40-13DE-CBA6-B020888FCEB8}"/>
                </a:ext>
              </a:extLst>
            </xdr14:cNvPr>
            <xdr14:cNvContentPartPr/>
          </xdr14:nvContentPartPr>
          <xdr14:nvPr macro=""/>
          <xdr14:xfrm>
            <a:off x="5438520" y="7257615"/>
            <a:ext cx="360" cy="360"/>
          </xdr14:xfrm>
        </xdr:contentPart>
      </mc:Choice>
      <mc:Fallback xmlns="">
        <xdr:pic>
          <xdr:nvPicPr>
            <xdr:cNvPr id="10" name="Ink 9">
              <a:extLst>
                <a:ext uri="{FF2B5EF4-FFF2-40B4-BE49-F238E27FC236}">
                  <a16:creationId xmlns:a16="http://schemas.microsoft.com/office/drawing/2014/main" id="{71CDE3C6-4C40-13DE-CBA6-B020888FCEB8}"/>
                </a:ext>
              </a:extLst>
            </xdr:cNvPr>
            <xdr:cNvPicPr/>
          </xdr:nvPicPr>
          <xdr:blipFill>
            <a:blip xmlns:r="http://schemas.openxmlformats.org/officeDocument/2006/relationships" r:embed="rId2"/>
            <a:stretch>
              <a:fillRect/>
            </a:stretch>
          </xdr:blipFill>
          <xdr:spPr>
            <a:xfrm>
              <a:off x="5432400" y="7251495"/>
              <a:ext cx="12600" cy="12600"/>
            </a:xfrm>
            <a:prstGeom prst="rect">
              <a:avLst/>
            </a:prstGeom>
          </xdr:spPr>
        </xdr:pic>
      </mc:Fallback>
    </mc:AlternateContent>
    <xdr:clientData/>
  </xdr:twoCellAnchor>
  <xdr:twoCellAnchor>
    <xdr:from>
      <xdr:col>0</xdr:col>
      <xdr:colOff>0</xdr:colOff>
      <xdr:row>23</xdr:row>
      <xdr:rowOff>0</xdr:rowOff>
    </xdr:from>
    <xdr:to>
      <xdr:col>4</xdr:col>
      <xdr:colOff>1665926</xdr:colOff>
      <xdr:row>55</xdr:row>
      <xdr:rowOff>47625</xdr:rowOff>
    </xdr:to>
    <xdr:grpSp>
      <xdr:nvGrpSpPr>
        <xdr:cNvPr id="39" name="Group 38">
          <a:extLst>
            <a:ext uri="{FF2B5EF4-FFF2-40B4-BE49-F238E27FC236}">
              <a16:creationId xmlns:a16="http://schemas.microsoft.com/office/drawing/2014/main" id="{7AFC8E05-F57B-84FE-A91F-4863A5AD73BE}"/>
            </a:ext>
          </a:extLst>
        </xdr:cNvPr>
        <xdr:cNvGrpSpPr/>
      </xdr:nvGrpSpPr>
      <xdr:grpSpPr>
        <a:xfrm>
          <a:off x="0" y="5200650"/>
          <a:ext cx="7590476" cy="6143625"/>
          <a:chOff x="0" y="4714875"/>
          <a:chExt cx="7590476" cy="6143625"/>
        </a:xfrm>
      </xdr:grpSpPr>
      <xdr:pic>
        <xdr:nvPicPr>
          <xdr:cNvPr id="12" name="Picture 11">
            <a:extLst>
              <a:ext uri="{FF2B5EF4-FFF2-40B4-BE49-F238E27FC236}">
                <a16:creationId xmlns:a16="http://schemas.microsoft.com/office/drawing/2014/main" id="{D5F1BD0F-96CB-AC01-1C0F-471CBF5C3B2B}"/>
              </a:ext>
            </a:extLst>
          </xdr:cNvPr>
          <xdr:cNvPicPr>
            <a:picLocks noChangeAspect="1"/>
          </xdr:cNvPicPr>
        </xdr:nvPicPr>
        <xdr:blipFill rotWithShape="1">
          <a:blip xmlns:r="http://schemas.openxmlformats.org/officeDocument/2006/relationships" r:embed="rId3"/>
          <a:srcRect b="20164"/>
          <a:stretch>
            <a:fillRect/>
          </a:stretch>
        </xdr:blipFill>
        <xdr:spPr>
          <a:xfrm>
            <a:off x="0" y="4714875"/>
            <a:ext cx="7590476" cy="6143625"/>
          </a:xfrm>
          <a:prstGeom prst="rect">
            <a:avLst/>
          </a:prstGeom>
        </xdr:spPr>
      </xdr:pic>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21" name="Ink 20">
                <a:extLst>
                  <a:ext uri="{FF2B5EF4-FFF2-40B4-BE49-F238E27FC236}">
                    <a16:creationId xmlns:a16="http://schemas.microsoft.com/office/drawing/2014/main" id="{BC2E1BBE-10E9-AB59-19B4-151A7ACDF317}"/>
                  </a:ext>
                </a:extLst>
              </xdr14:cNvPr>
              <xdr14:cNvContentPartPr/>
            </xdr14:nvContentPartPr>
            <xdr14:nvPr macro=""/>
            <xdr14:xfrm>
              <a:off x="2127610" y="9059879"/>
              <a:ext cx="769660" cy="275222"/>
            </xdr14:xfrm>
          </xdr14:contentPart>
        </mc:Choice>
        <mc:Fallback xmlns="">
          <xdr:pic>
            <xdr:nvPicPr>
              <xdr:cNvPr id="21" name="Ink 20">
                <a:extLst>
                  <a:ext uri="{FF2B5EF4-FFF2-40B4-BE49-F238E27FC236}">
                    <a16:creationId xmlns:a16="http://schemas.microsoft.com/office/drawing/2014/main" id="{BC2E1BBE-10E9-AB59-19B4-151A7ACDF317}"/>
                  </a:ext>
                </a:extLst>
              </xdr:cNvPr>
              <xdr:cNvPicPr/>
            </xdr:nvPicPr>
            <xdr:blipFill>
              <a:blip xmlns:r="http://schemas.openxmlformats.org/officeDocument/2006/relationships" r:embed="rId5"/>
              <a:stretch>
                <a:fillRect/>
              </a:stretch>
            </xdr:blipFill>
            <xdr:spPr>
              <a:xfrm>
                <a:off x="2121490" y="9053755"/>
                <a:ext cx="781900" cy="287470"/>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6">
            <xdr14:nvContentPartPr>
              <xdr14:cNvPr id="23" name="Ink 22">
                <a:extLst>
                  <a:ext uri="{FF2B5EF4-FFF2-40B4-BE49-F238E27FC236}">
                    <a16:creationId xmlns:a16="http://schemas.microsoft.com/office/drawing/2014/main" id="{753EA66A-04B9-E919-59F5-40D111CE4893}"/>
                  </a:ext>
                </a:extLst>
              </xdr14:cNvPr>
              <xdr14:cNvContentPartPr/>
            </xdr14:nvContentPartPr>
            <xdr14:nvPr macro=""/>
            <xdr14:xfrm>
              <a:off x="6588076" y="9031685"/>
              <a:ext cx="710848" cy="290930"/>
            </xdr14:xfrm>
          </xdr14:contentPart>
        </mc:Choice>
        <mc:Fallback xmlns="">
          <xdr:pic>
            <xdr:nvPicPr>
              <xdr:cNvPr id="23" name="Ink 22">
                <a:extLst>
                  <a:ext uri="{FF2B5EF4-FFF2-40B4-BE49-F238E27FC236}">
                    <a16:creationId xmlns:a16="http://schemas.microsoft.com/office/drawing/2014/main" id="{753EA66A-04B9-E919-59F5-40D111CE4893}"/>
                  </a:ext>
                </a:extLst>
              </xdr:cNvPr>
              <xdr:cNvPicPr/>
            </xdr:nvPicPr>
            <xdr:blipFill>
              <a:blip xmlns:r="http://schemas.openxmlformats.org/officeDocument/2006/relationships" r:embed="rId7"/>
              <a:stretch>
                <a:fillRect/>
              </a:stretch>
            </xdr:blipFill>
            <xdr:spPr>
              <a:xfrm>
                <a:off x="6581954" y="9025564"/>
                <a:ext cx="723092" cy="303172"/>
              </a:xfrm>
              <a:prstGeom prst="rect">
                <a:avLst/>
              </a:prstGeom>
            </xdr:spPr>
          </xdr:pic>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857251</xdr:colOff>
      <xdr:row>11</xdr:row>
      <xdr:rowOff>71438</xdr:rowOff>
    </xdr:from>
    <xdr:to>
      <xdr:col>5</xdr:col>
      <xdr:colOff>1508125</xdr:colOff>
      <xdr:row>33</xdr:row>
      <xdr:rowOff>103188</xdr:rowOff>
    </xdr:to>
    <xdr:graphicFrame macro="">
      <xdr:nvGraphicFramePr>
        <xdr:cNvPr id="2" name="Chart 2">
          <a:extLst>
            <a:ext uri="{FF2B5EF4-FFF2-40B4-BE49-F238E27FC236}">
              <a16:creationId xmlns:a16="http://schemas.microsoft.com/office/drawing/2014/main" id="{281D2511-324F-48F5-822A-54A9B4459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857250</xdr:colOff>
      <xdr:row>13</xdr:row>
      <xdr:rowOff>51954</xdr:rowOff>
    </xdr:from>
    <xdr:to>
      <xdr:col>15</xdr:col>
      <xdr:colOff>173180</xdr:colOff>
      <xdr:row>40</xdr:row>
      <xdr:rowOff>4330</xdr:rowOff>
    </xdr:to>
    <xdr:graphicFrame macro="">
      <xdr:nvGraphicFramePr>
        <xdr:cNvPr id="6" name="Chart 3">
          <a:extLst>
            <a:ext uri="{FF2B5EF4-FFF2-40B4-BE49-F238E27FC236}">
              <a16:creationId xmlns:a16="http://schemas.microsoft.com/office/drawing/2014/main" id="{259E1825-1AEF-A83E-059F-065BBB9C1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giar.sharepoint.com/sites/Alliance-BMFG1000FARMSResearchPlatform/Shared%20Documents/7%20-%20On-farm%20testing%20networks/Tricot%20Costing/CostExercise_GB%20-%20June%2017,%202025.xlsx" TargetMode="External"/><Relationship Id="rId1" Type="http://schemas.openxmlformats.org/officeDocument/2006/relationships/externalLinkPath" Target="https://cgiar.sharepoint.com/sites/Alliance-BMFG1000FARMSResearchPlatform/Shared%20Documents/7%20-%20On-farm%20testing%20networks/Tricot%20Costing/Versions%20to%20send%20out/CostExercise_GB%20-%20June%2017,%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1BbkMB-_kk6_QJcELmynU_hiSenU7L1OsVPFap8mWbd11h5EMAmBRLf8hZvVkpiz" itemId="01CVKMFBEROHMJ642IHBDLGJDCLG3HMHX3">
      <xxl21:absoluteUrl r:id="rId2"/>
    </xxl21:alternateUrls>
    <sheetNames>
      <sheetName val="Introduction"/>
      <sheetName val="Trial_dimensions"/>
      <sheetName val="Seed_multiplication_cassava"/>
      <sheetName val="Materials"/>
      <sheetName val="Fuel"/>
      <sheetName val="Fuel_actual"/>
      <sheetName val="Wages"/>
      <sheetName val="Labour_time"/>
      <sheetName val="Labour_costs"/>
      <sheetName val="Per_diem_allowance"/>
      <sheetName val="Travel_costs"/>
      <sheetName val="Calls"/>
      <sheetName val="Overview"/>
      <sheetName val="Scenario_analysis"/>
      <sheetName val="Advanced_scenario_analysis"/>
      <sheetName val="Sheet2"/>
    </sheetNames>
    <sheetDataSet>
      <sheetData sheetId="0"/>
      <sheetData sheetId="1">
        <row r="19">
          <cell r="B19">
            <v>20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7T05:53:04.453"/>
    </inkml:context>
    <inkml:brush xml:id="br0">
      <inkml:brushProperty name="width" value="0.035" units="cm"/>
      <inkml:brushProperty name="height" value="0.035" units="cm"/>
      <inkml:brushProperty name="color" value="#E71224"/>
    </inkml:brush>
  </inkml:definitions>
  <inkml:trace contextRef="#ctx0" brushRef="#br0">1 0 24575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7T05:54:53.252"/>
    </inkml:context>
    <inkml:brush xml:id="br0">
      <inkml:brushProperty name="width" value="0.035" units="cm"/>
      <inkml:brushProperty name="height" value="0.035" units="cm"/>
      <inkml:brushProperty name="color" value="#E71224"/>
    </inkml:brush>
  </inkml:definitions>
  <inkml:trace contextRef="#ctx0" brushRef="#br0">0 0 24509,'0'762'0,"2138"-762"0,-2138-762 0,-2138 762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7T05:55:04.646"/>
    </inkml:context>
    <inkml:brush xml:id="br0">
      <inkml:brushProperty name="width" value="0.035" units="cm"/>
      <inkml:brushProperty name="height" value="0.035" units="cm"/>
      <inkml:brushProperty name="color" value="#E71224"/>
    </inkml:brush>
  </inkml:definitions>
  <inkml:trace contextRef="#ctx0" brushRef="#br0">0 0 24463,'0'806'0,"1973"-806"0,-1973-806 0,-1973 806 0</inkml:trace>
</inkml:ink>
</file>

<file path=xl/persons/person.xml><?xml version="1.0" encoding="utf-8"?>
<personList xmlns="http://schemas.microsoft.com/office/spreadsheetml/2018/threadedcomments" xmlns:x="http://schemas.openxmlformats.org/spreadsheetml/2006/main">
  <person displayName="Angudubo, Stephen (Alliance Bioversity-CIAT)" id="{428646AE-7F87-4B9D-B800-C887A6919E32}" userId="S::s.angudubo@cgiar.org::32364355-0c0e-43ac-bbc4-b2939294b031"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 dT="2025-05-29T11:56:43.46" personId="{428646AE-7F87-4B9D-B800-C887A6919E32}" id="{A2ED6EA1-2030-4EBB-A6DC-68994C6D8006}">
    <text>MAAIF</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hr.un.org/node/53991" TargetMode="External"/><Relationship Id="rId1" Type="http://schemas.openxmlformats.org/officeDocument/2006/relationships/hyperlink" Target="http://www.worldbank.org/poverty"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hr.un.org/node/53991" TargetMode="Externa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F49C8-36B5-4310-99AE-5D0F2B3D0002}">
  <sheetPr>
    <tabColor rgb="FFFFC000"/>
  </sheetPr>
  <dimension ref="A1:B31"/>
  <sheetViews>
    <sheetView tabSelected="1" zoomScale="90" zoomScaleNormal="90" workbookViewId="0">
      <selection activeCell="B18" sqref="B18"/>
    </sheetView>
  </sheetViews>
  <sheetFormatPr defaultColWidth="9.140625" defaultRowHeight="15" x14ac:dyDescent="0.25"/>
  <cols>
    <col min="1" max="1" width="30.7109375" style="71" customWidth="1"/>
    <col min="2" max="2" width="120.7109375" customWidth="1"/>
  </cols>
  <sheetData>
    <row r="1" spans="1:2" ht="18.75" x14ac:dyDescent="0.3">
      <c r="A1" s="188" t="s">
        <v>1</v>
      </c>
    </row>
    <row r="2" spans="1:2" ht="30" x14ac:dyDescent="0.25">
      <c r="A2" s="190" t="s">
        <v>173</v>
      </c>
      <c r="B2" s="175" t="s">
        <v>244</v>
      </c>
    </row>
    <row r="3" spans="1:2" x14ac:dyDescent="0.25">
      <c r="A3" s="190" t="s">
        <v>138</v>
      </c>
      <c r="B3" s="175" t="s">
        <v>245</v>
      </c>
    </row>
    <row r="4" spans="1:2" ht="30" x14ac:dyDescent="0.25">
      <c r="A4" s="190" t="s">
        <v>175</v>
      </c>
      <c r="B4" s="175" t="s">
        <v>246</v>
      </c>
    </row>
    <row r="5" spans="1:2" ht="30" x14ac:dyDescent="0.25">
      <c r="A5" s="190" t="s">
        <v>231</v>
      </c>
      <c r="B5" s="175" t="s">
        <v>247</v>
      </c>
    </row>
    <row r="6" spans="1:2" ht="30" x14ac:dyDescent="0.25">
      <c r="A6" s="190" t="s">
        <v>178</v>
      </c>
      <c r="B6" s="175" t="s">
        <v>248</v>
      </c>
    </row>
    <row r="7" spans="1:2" x14ac:dyDescent="0.25">
      <c r="A7" s="190" t="s">
        <v>144</v>
      </c>
      <c r="B7" s="175" t="s">
        <v>249</v>
      </c>
    </row>
    <row r="8" spans="1:2" ht="30" x14ac:dyDescent="0.25">
      <c r="A8" s="190" t="s">
        <v>250</v>
      </c>
      <c r="B8" s="175" t="s">
        <v>251</v>
      </c>
    </row>
    <row r="9" spans="1:2" x14ac:dyDescent="0.25">
      <c r="A9" s="190" t="s">
        <v>252</v>
      </c>
      <c r="B9" s="175" t="s">
        <v>253</v>
      </c>
    </row>
    <row r="10" spans="1:2" x14ac:dyDescent="0.25">
      <c r="A10" s="190" t="s">
        <v>254</v>
      </c>
      <c r="B10" s="175" t="s">
        <v>255</v>
      </c>
    </row>
    <row r="11" spans="1:2" ht="30" x14ac:dyDescent="0.25">
      <c r="A11" s="190" t="s">
        <v>256</v>
      </c>
      <c r="B11" s="175" t="s">
        <v>257</v>
      </c>
    </row>
    <row r="12" spans="1:2" x14ac:dyDescent="0.25">
      <c r="A12" s="190" t="s">
        <v>258</v>
      </c>
      <c r="B12" s="175" t="s">
        <v>259</v>
      </c>
    </row>
    <row r="13" spans="1:2" x14ac:dyDescent="0.25">
      <c r="A13" s="190" t="s">
        <v>260</v>
      </c>
      <c r="B13" s="175" t="s">
        <v>261</v>
      </c>
    </row>
    <row r="14" spans="1:2" x14ac:dyDescent="0.25">
      <c r="A14" s="190" t="s">
        <v>262</v>
      </c>
      <c r="B14" s="175" t="s">
        <v>263</v>
      </c>
    </row>
    <row r="15" spans="1:2" x14ac:dyDescent="0.25">
      <c r="A15" s="189"/>
    </row>
    <row r="16" spans="1:2" ht="18.75" x14ac:dyDescent="0.3">
      <c r="A16" s="188" t="s">
        <v>2</v>
      </c>
    </row>
    <row r="17" spans="1:2" ht="60" x14ac:dyDescent="0.25">
      <c r="A17" s="190" t="s">
        <v>282</v>
      </c>
      <c r="B17" s="187" t="s">
        <v>264</v>
      </c>
    </row>
    <row r="18" spans="1:2" ht="135" x14ac:dyDescent="0.25">
      <c r="A18" s="190" t="s">
        <v>265</v>
      </c>
      <c r="B18" s="187" t="s">
        <v>283</v>
      </c>
    </row>
    <row r="19" spans="1:2" x14ac:dyDescent="0.25">
      <c r="A19" s="190" t="s">
        <v>266</v>
      </c>
      <c r="B19" s="187" t="s">
        <v>281</v>
      </c>
    </row>
    <row r="20" spans="1:2" ht="30" x14ac:dyDescent="0.25">
      <c r="A20" s="190" t="s">
        <v>267</v>
      </c>
      <c r="B20" s="187" t="s">
        <v>280</v>
      </c>
    </row>
    <row r="21" spans="1:2" ht="45" x14ac:dyDescent="0.25">
      <c r="A21" s="190" t="s">
        <v>268</v>
      </c>
      <c r="B21" s="187" t="s">
        <v>279</v>
      </c>
    </row>
    <row r="22" spans="1:2" ht="45" x14ac:dyDescent="0.25">
      <c r="A22" s="190" t="s">
        <v>269</v>
      </c>
      <c r="B22" s="187" t="s">
        <v>278</v>
      </c>
    </row>
    <row r="23" spans="1:2" ht="60" x14ac:dyDescent="0.25">
      <c r="A23" s="190" t="s">
        <v>270</v>
      </c>
      <c r="B23" s="187" t="s">
        <v>277</v>
      </c>
    </row>
    <row r="24" spans="1:2" ht="30" x14ac:dyDescent="0.25">
      <c r="A24" s="190" t="s">
        <v>271</v>
      </c>
      <c r="B24" s="186" t="s">
        <v>276</v>
      </c>
    </row>
    <row r="25" spans="1:2" ht="45" x14ac:dyDescent="0.25">
      <c r="A25" s="190" t="s">
        <v>272</v>
      </c>
      <c r="B25" s="186" t="s">
        <v>275</v>
      </c>
    </row>
    <row r="26" spans="1:2" ht="30" x14ac:dyDescent="0.25">
      <c r="A26" s="190" t="s">
        <v>273</v>
      </c>
      <c r="B26" s="186" t="s">
        <v>274</v>
      </c>
    </row>
    <row r="27" spans="1:2" x14ac:dyDescent="0.25">
      <c r="A27" s="191"/>
    </row>
    <row r="28" spans="1:2" x14ac:dyDescent="0.25">
      <c r="A28" s="192"/>
    </row>
    <row r="29" spans="1:2" x14ac:dyDescent="0.25">
      <c r="A29" s="192" t="s">
        <v>3</v>
      </c>
    </row>
    <row r="30" spans="1:2" x14ac:dyDescent="0.25">
      <c r="A30" s="192" t="s">
        <v>4</v>
      </c>
    </row>
    <row r="31" spans="1:2" x14ac:dyDescent="0.25">
      <c r="A31" s="193" t="s">
        <v>0</v>
      </c>
    </row>
  </sheetData>
  <sortState xmlns:xlrd2="http://schemas.microsoft.com/office/spreadsheetml/2017/richdata2" ref="B32:C45">
    <sortCondition ref="B32:B45"/>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DB308-2833-4E43-B1FF-1365B3AFEA21}">
  <sheetPr>
    <tabColor rgb="FF002060"/>
  </sheetPr>
  <dimension ref="A1:E26"/>
  <sheetViews>
    <sheetView zoomScale="120" zoomScaleNormal="120" workbookViewId="0">
      <pane ySplit="1" topLeftCell="A11" activePane="bottomLeft" state="frozen"/>
      <selection pane="bottomLeft" activeCell="B21" sqref="B21"/>
    </sheetView>
  </sheetViews>
  <sheetFormatPr defaultColWidth="9.140625" defaultRowHeight="15" x14ac:dyDescent="0.25"/>
  <cols>
    <col min="1" max="1" width="39.28515625" style="136" bestFit="1" customWidth="1"/>
    <col min="2" max="2" width="53.140625" style="137" bestFit="1" customWidth="1"/>
    <col min="3" max="3" width="10.28515625" style="137" bestFit="1" customWidth="1"/>
    <col min="4" max="16384" width="9.140625" style="137"/>
  </cols>
  <sheetData>
    <row r="1" spans="1:5" s="127" customFormat="1" ht="15.75" thickTop="1" x14ac:dyDescent="0.25">
      <c r="A1" s="126" t="s">
        <v>5</v>
      </c>
      <c r="B1" s="56" t="s">
        <v>6</v>
      </c>
    </row>
    <row r="2" spans="1:5" s="127" customFormat="1" x14ac:dyDescent="0.25">
      <c r="A2" s="173" t="s">
        <v>7</v>
      </c>
      <c r="B2" s="128"/>
    </row>
    <row r="3" spans="1:5" s="127" customFormat="1" x14ac:dyDescent="0.25">
      <c r="A3" s="173" t="s">
        <v>8</v>
      </c>
      <c r="B3" s="128"/>
    </row>
    <row r="4" spans="1:5" s="127" customFormat="1" x14ac:dyDescent="0.25">
      <c r="A4" s="173" t="s">
        <v>9</v>
      </c>
      <c r="B4" s="128"/>
    </row>
    <row r="5" spans="1:5" s="127" customFormat="1" x14ac:dyDescent="0.25">
      <c r="A5" s="173" t="s">
        <v>10</v>
      </c>
      <c r="B5" s="128"/>
    </row>
    <row r="6" spans="1:5" s="127" customFormat="1" x14ac:dyDescent="0.25">
      <c r="A6" s="173" t="s">
        <v>241</v>
      </c>
      <c r="B6" s="129"/>
      <c r="C6" s="130"/>
    </row>
    <row r="7" spans="1:5" s="127" customFormat="1" x14ac:dyDescent="0.25">
      <c r="A7" s="173" t="s">
        <v>242</v>
      </c>
      <c r="B7" s="129"/>
      <c r="C7" s="130"/>
      <c r="E7" s="130"/>
    </row>
    <row r="8" spans="1:5" s="127" customFormat="1" x14ac:dyDescent="0.25">
      <c r="A8" s="173" t="s">
        <v>11</v>
      </c>
      <c r="B8" s="131">
        <f>B7-B6</f>
        <v>0</v>
      </c>
    </row>
    <row r="9" spans="1:5" s="127" customFormat="1" x14ac:dyDescent="0.25">
      <c r="A9" s="173" t="s">
        <v>12</v>
      </c>
      <c r="B9" s="128"/>
    </row>
    <row r="10" spans="1:5" s="127" customFormat="1" x14ac:dyDescent="0.25">
      <c r="A10" s="173" t="s">
        <v>13</v>
      </c>
      <c r="B10" s="128"/>
    </row>
    <row r="11" spans="1:5" s="127" customFormat="1" x14ac:dyDescent="0.25">
      <c r="A11" s="173" t="s">
        <v>14</v>
      </c>
      <c r="B11" s="128"/>
    </row>
    <row r="12" spans="1:5" s="127" customFormat="1" x14ac:dyDescent="0.25">
      <c r="A12" s="173" t="s">
        <v>15</v>
      </c>
      <c r="B12" s="128"/>
    </row>
    <row r="13" spans="1:5" s="127" customFormat="1" x14ac:dyDescent="0.25">
      <c r="A13" s="173" t="s">
        <v>16</v>
      </c>
      <c r="B13" s="128"/>
    </row>
    <row r="14" spans="1:5" s="127" customFormat="1" x14ac:dyDescent="0.25">
      <c r="A14" s="173" t="s">
        <v>17</v>
      </c>
      <c r="B14" s="132">
        <v>3</v>
      </c>
    </row>
    <row r="15" spans="1:5" s="127" customFormat="1" x14ac:dyDescent="0.25">
      <c r="A15" s="174" t="s">
        <v>18</v>
      </c>
      <c r="B15" s="131" t="e">
        <f>(B9*B14)/B10</f>
        <v>#DIV/0!</v>
      </c>
    </row>
    <row r="16" spans="1:5" s="127" customFormat="1" x14ac:dyDescent="0.25">
      <c r="A16" s="174" t="s">
        <v>19</v>
      </c>
      <c r="B16" s="131" t="e">
        <f>B15*B11</f>
        <v>#DIV/0!</v>
      </c>
    </row>
    <row r="17" spans="1:2" s="127" customFormat="1" x14ac:dyDescent="0.25">
      <c r="A17" s="174" t="s">
        <v>20</v>
      </c>
      <c r="B17" s="131" t="e">
        <f>B16*B10</f>
        <v>#DIV/0!</v>
      </c>
    </row>
    <row r="18" spans="1:2" s="127" customFormat="1" x14ac:dyDescent="0.25">
      <c r="A18" s="174" t="s">
        <v>21</v>
      </c>
      <c r="B18" s="128"/>
    </row>
    <row r="19" spans="1:2" s="127" customFormat="1" x14ac:dyDescent="0.25">
      <c r="A19" s="174" t="s">
        <v>22</v>
      </c>
      <c r="B19" s="128"/>
    </row>
    <row r="20" spans="1:2" s="127" customFormat="1" x14ac:dyDescent="0.25">
      <c r="A20" s="174" t="s">
        <v>23</v>
      </c>
      <c r="B20" s="133"/>
    </row>
    <row r="21" spans="1:2" s="127" customFormat="1" x14ac:dyDescent="0.25">
      <c r="A21" s="174" t="s">
        <v>24</v>
      </c>
      <c r="B21" s="128"/>
    </row>
    <row r="22" spans="1:2" s="127" customFormat="1" ht="13.5" customHeight="1" x14ac:dyDescent="0.25">
      <c r="A22" s="134"/>
      <c r="B22" s="135"/>
    </row>
    <row r="23" spans="1:2" s="70" customFormat="1" x14ac:dyDescent="0.25">
      <c r="A23" s="138" t="s">
        <v>25</v>
      </c>
      <c r="B23" s="139"/>
    </row>
    <row r="24" spans="1:2" s="127" customFormat="1" x14ac:dyDescent="0.25">
      <c r="A24" s="233" t="s">
        <v>26</v>
      </c>
      <c r="B24" s="234"/>
    </row>
    <row r="25" spans="1:2" s="127" customFormat="1" ht="27" customHeight="1" thickBot="1" x14ac:dyDescent="0.3">
      <c r="A25" s="231" t="s">
        <v>27</v>
      </c>
      <c r="B25" s="232"/>
    </row>
    <row r="26" spans="1:2" ht="15.75" thickTop="1" x14ac:dyDescent="0.25"/>
  </sheetData>
  <mergeCells count="2">
    <mergeCell ref="A25:B25"/>
    <mergeCell ref="A24:B24"/>
  </mergeCells>
  <dataValidations count="1">
    <dataValidation allowBlank="1" showInputMessage="1" showErrorMessage="1" promptTitle="Per diem rate" prompt="This is an average of per diem for different job roles. Compute the average per diem for all job roles involved in the tricot trial and enter the value in USD." sqref="B20" xr:uid="{7E92F0F4-1949-4901-B668-D1A4311F32B2}"/>
  </dataValidations>
  <pageMargins left="0.7" right="0.7" top="0.75" bottom="0.75" header="0.3" footer="0.3"/>
  <pageSetup orientation="portrait" r:id="rId1"/>
  <ignoredErrors>
    <ignoredError sqref="B8 B15:B16"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A7AC3-2A27-4EDC-9183-C5310F019324}">
  <sheetPr>
    <tabColor rgb="FF00B0F0"/>
  </sheetPr>
  <dimension ref="A1:C6"/>
  <sheetViews>
    <sheetView zoomScaleNormal="100" workbookViewId="0">
      <selection activeCell="C6" sqref="C6"/>
    </sheetView>
  </sheetViews>
  <sheetFormatPr defaultColWidth="9.140625" defaultRowHeight="15" x14ac:dyDescent="0.25"/>
  <cols>
    <col min="1" max="1" width="31.140625" style="57" bestFit="1" customWidth="1"/>
    <col min="2" max="2" width="11.42578125" style="57" bestFit="1" customWidth="1"/>
    <col min="3" max="3" width="12.85546875" style="57" customWidth="1"/>
    <col min="4" max="16384" width="9.140625" style="57"/>
  </cols>
  <sheetData>
    <row r="1" spans="1:3" x14ac:dyDescent="0.25">
      <c r="A1" s="140" t="s">
        <v>5</v>
      </c>
      <c r="B1" s="58" t="s">
        <v>28</v>
      </c>
      <c r="C1" s="58" t="s">
        <v>6</v>
      </c>
    </row>
    <row r="2" spans="1:3" x14ac:dyDescent="0.25">
      <c r="A2" s="194" t="s">
        <v>31</v>
      </c>
      <c r="B2" s="195" t="s">
        <v>32</v>
      </c>
      <c r="C2" s="66"/>
    </row>
    <row r="3" spans="1:3" x14ac:dyDescent="0.25">
      <c r="A3" s="194" t="s">
        <v>33</v>
      </c>
      <c r="B3" s="196" t="s">
        <v>34</v>
      </c>
      <c r="C3" s="197" t="e">
        <f>'B. Trial dimensions'!B17/C2</f>
        <v>#DIV/0!</v>
      </c>
    </row>
    <row r="4" spans="1:3" x14ac:dyDescent="0.25">
      <c r="A4" s="194" t="s">
        <v>35</v>
      </c>
      <c r="B4" s="195" t="s">
        <v>36</v>
      </c>
      <c r="C4" s="66"/>
    </row>
    <row r="5" spans="1:3" x14ac:dyDescent="0.25">
      <c r="A5" s="194" t="s">
        <v>37</v>
      </c>
      <c r="B5" s="195" t="s">
        <v>29</v>
      </c>
      <c r="C5" s="198" t="e">
        <f>C3/C4</f>
        <v>#DIV/0!</v>
      </c>
    </row>
    <row r="6" spans="1:3" x14ac:dyDescent="0.25">
      <c r="A6" s="199" t="s">
        <v>30</v>
      </c>
      <c r="B6" s="196" t="s">
        <v>36</v>
      </c>
      <c r="C6" s="66"/>
    </row>
  </sheetData>
  <sheetProtection sheet="1" objects="1" scenarios="1" selectLockedCells="1"/>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D1859-F3A1-45DB-98CF-C11CABF581FA}">
  <dimension ref="A1:H35"/>
  <sheetViews>
    <sheetView topLeftCell="B21" workbookViewId="0">
      <selection activeCell="F22" sqref="F22:F27"/>
    </sheetView>
  </sheetViews>
  <sheetFormatPr defaultRowHeight="15" x14ac:dyDescent="0.25"/>
  <cols>
    <col min="1" max="1" width="43.140625" customWidth="1"/>
    <col min="2" max="2" width="15.5703125" style="69" customWidth="1"/>
    <col min="3" max="3" width="15.85546875" style="60" customWidth="1"/>
    <col min="4" max="4" width="16.85546875" style="60" customWidth="1"/>
    <col min="5" max="5" width="22.28515625" style="60" customWidth="1"/>
    <col min="6" max="6" width="57" style="60" bestFit="1" customWidth="1"/>
    <col min="7" max="7" width="15.85546875" style="60" customWidth="1"/>
    <col min="8" max="8" width="17.42578125" style="60" customWidth="1"/>
    <col min="9" max="9" width="17.42578125" customWidth="1"/>
    <col min="10" max="10" width="15.85546875" customWidth="1"/>
    <col min="11" max="11" width="56.5703125" customWidth="1"/>
  </cols>
  <sheetData>
    <row r="1" spans="1:6" s="60" customFormat="1" ht="15.75" x14ac:dyDescent="0.25">
      <c r="A1" s="159" t="s">
        <v>38</v>
      </c>
      <c r="B1" s="159" t="s">
        <v>28</v>
      </c>
      <c r="C1" s="6" t="s">
        <v>39</v>
      </c>
      <c r="D1" s="6" t="s">
        <v>40</v>
      </c>
      <c r="E1" s="6" t="s">
        <v>41</v>
      </c>
      <c r="F1" s="6" t="s">
        <v>42</v>
      </c>
    </row>
    <row r="2" spans="1:6" s="60" customFormat="1" ht="15.75" x14ac:dyDescent="0.25">
      <c r="A2" s="159" t="s">
        <v>50</v>
      </c>
      <c r="B2" s="159"/>
      <c r="C2" s="159"/>
      <c r="D2" s="159"/>
      <c r="E2" s="159"/>
      <c r="F2" s="159"/>
    </row>
    <row r="3" spans="1:6" s="60" customFormat="1" x14ac:dyDescent="0.25">
      <c r="A3" s="74" t="s">
        <v>51</v>
      </c>
      <c r="B3" s="73" t="s">
        <v>52</v>
      </c>
      <c r="C3" s="74" t="e">
        <f>'C. Seed required - RTB'!C5*'C. Seed required - RTB'!C6</f>
        <v>#DIV/0!</v>
      </c>
      <c r="D3" s="200"/>
      <c r="E3" s="8" t="e">
        <f>C3*D3</f>
        <v>#DIV/0!</v>
      </c>
      <c r="F3" s="202"/>
    </row>
    <row r="4" spans="1:6" s="60" customFormat="1" x14ac:dyDescent="0.25">
      <c r="A4" s="74" t="s">
        <v>53</v>
      </c>
      <c r="B4" s="74" t="s">
        <v>45</v>
      </c>
      <c r="C4" s="74"/>
      <c r="D4" s="201"/>
      <c r="E4" s="8">
        <f>C4*D4</f>
        <v>0</v>
      </c>
      <c r="F4" s="202"/>
    </row>
    <row r="5" spans="1:6" s="60" customFormat="1" x14ac:dyDescent="0.25">
      <c r="A5" s="74" t="s">
        <v>54</v>
      </c>
      <c r="B5" s="74" t="s">
        <v>52</v>
      </c>
      <c r="C5" s="74"/>
      <c r="D5" s="200"/>
      <c r="E5" s="8">
        <f>C5*D5</f>
        <v>0</v>
      </c>
      <c r="F5" s="202"/>
    </row>
    <row r="6" spans="1:6" s="60" customFormat="1" x14ac:dyDescent="0.25">
      <c r="A6" s="74" t="s">
        <v>55</v>
      </c>
      <c r="B6" s="74" t="s">
        <v>52</v>
      </c>
      <c r="C6" s="74" t="e">
        <f>'C. Seed required - RTB'!C5*'C. Seed required - RTB'!C6</f>
        <v>#DIV/0!</v>
      </c>
      <c r="D6" s="200"/>
      <c r="E6" s="8" t="e">
        <f>C6*D6</f>
        <v>#DIV/0!</v>
      </c>
      <c r="F6" s="202"/>
    </row>
    <row r="7" spans="1:6" s="60" customFormat="1" x14ac:dyDescent="0.25">
      <c r="A7" s="74" t="s">
        <v>56</v>
      </c>
      <c r="B7" s="74" t="s">
        <v>52</v>
      </c>
      <c r="C7" s="160" t="e">
        <f>15%*C3</f>
        <v>#DIV/0!</v>
      </c>
      <c r="D7" s="200"/>
      <c r="E7" s="8" t="e">
        <f>C7*D7</f>
        <v>#DIV/0!</v>
      </c>
      <c r="F7" s="202"/>
    </row>
    <row r="8" spans="1:6" s="60" customFormat="1" ht="15.75" x14ac:dyDescent="0.25">
      <c r="A8" s="159" t="s">
        <v>57</v>
      </c>
      <c r="B8" s="159"/>
      <c r="C8" s="159"/>
      <c r="D8" s="161"/>
      <c r="E8" s="159"/>
      <c r="F8" s="159"/>
    </row>
    <row r="9" spans="1:6" s="60" customFormat="1" x14ac:dyDescent="0.25">
      <c r="A9" s="74" t="s">
        <v>58</v>
      </c>
      <c r="B9" s="202" t="s">
        <v>43</v>
      </c>
      <c r="C9" s="203" t="e">
        <f>'C. Seed required - RTB'!$C$5</f>
        <v>#DIV/0!</v>
      </c>
      <c r="D9" s="204"/>
      <c r="E9" s="8" t="e">
        <f t="shared" ref="E9:E27" si="0">C9*D9</f>
        <v>#DIV/0!</v>
      </c>
      <c r="F9" s="202"/>
    </row>
    <row r="10" spans="1:6" s="60" customFormat="1" x14ac:dyDescent="0.25">
      <c r="A10" s="74" t="s">
        <v>59</v>
      </c>
      <c r="B10" s="202" t="s">
        <v>43</v>
      </c>
      <c r="C10" s="203" t="e">
        <f>'C. Seed required - RTB'!$C$5</f>
        <v>#DIV/0!</v>
      </c>
      <c r="D10" s="204"/>
      <c r="E10" s="8" t="e">
        <f t="shared" si="0"/>
        <v>#DIV/0!</v>
      </c>
      <c r="F10" s="202"/>
    </row>
    <row r="11" spans="1:6" s="60" customFormat="1" x14ac:dyDescent="0.25">
      <c r="A11" s="74" t="s">
        <v>60</v>
      </c>
      <c r="B11" s="202" t="s">
        <v>43</v>
      </c>
      <c r="C11" s="203" t="e">
        <f>'C. Seed required - RTB'!$C$5</f>
        <v>#DIV/0!</v>
      </c>
      <c r="D11" s="204"/>
      <c r="E11" s="8" t="e">
        <f t="shared" si="0"/>
        <v>#DIV/0!</v>
      </c>
      <c r="F11" s="202"/>
    </row>
    <row r="12" spans="1:6" s="60" customFormat="1" x14ac:dyDescent="0.25">
      <c r="A12" s="74" t="s">
        <v>61</v>
      </c>
      <c r="B12" s="73" t="s">
        <v>43</v>
      </c>
      <c r="C12" s="203" t="e">
        <f>'C. Seed required - RTB'!$C$5</f>
        <v>#DIV/0!</v>
      </c>
      <c r="D12" s="204"/>
      <c r="E12" s="8" t="e">
        <f t="shared" si="0"/>
        <v>#DIV/0!</v>
      </c>
      <c r="F12" s="202"/>
    </row>
    <row r="13" spans="1:6" s="60" customFormat="1" x14ac:dyDescent="0.25">
      <c r="A13" s="74" t="s">
        <v>44</v>
      </c>
      <c r="B13" s="73" t="s">
        <v>43</v>
      </c>
      <c r="C13" s="203" t="e">
        <f>'C. Seed required - RTB'!$C$5</f>
        <v>#DIV/0!</v>
      </c>
      <c r="D13" s="204"/>
      <c r="E13" s="8" t="e">
        <f t="shared" si="0"/>
        <v>#DIV/0!</v>
      </c>
      <c r="F13" s="202"/>
    </row>
    <row r="14" spans="1:6" s="60" customFormat="1" x14ac:dyDescent="0.25">
      <c r="A14" s="74" t="s">
        <v>62</v>
      </c>
      <c r="B14" s="73" t="s">
        <v>63</v>
      </c>
      <c r="C14" s="203" t="e">
        <f>'C. Seed required - RTB'!$C$5</f>
        <v>#DIV/0!</v>
      </c>
      <c r="D14" s="204"/>
      <c r="E14" s="8" t="e">
        <f t="shared" si="0"/>
        <v>#DIV/0!</v>
      </c>
      <c r="F14" s="202"/>
    </row>
    <row r="15" spans="1:6" s="60" customFormat="1" x14ac:dyDescent="0.25">
      <c r="A15" s="74" t="s">
        <v>64</v>
      </c>
      <c r="B15" s="73" t="s">
        <v>43</v>
      </c>
      <c r="C15" s="203" t="e">
        <f>'C. Seed required - RTB'!$C$5</f>
        <v>#DIV/0!</v>
      </c>
      <c r="D15" s="204"/>
      <c r="E15" s="8" t="e">
        <f t="shared" si="0"/>
        <v>#DIV/0!</v>
      </c>
      <c r="F15" s="202"/>
    </row>
    <row r="16" spans="1:6" s="60" customFormat="1" x14ac:dyDescent="0.25">
      <c r="A16" s="74" t="s">
        <v>65</v>
      </c>
      <c r="B16" s="73" t="s">
        <v>43</v>
      </c>
      <c r="C16" s="203" t="e">
        <f>'C. Seed required - RTB'!$C$5</f>
        <v>#DIV/0!</v>
      </c>
      <c r="D16" s="200"/>
      <c r="E16" s="8" t="e">
        <f t="shared" si="0"/>
        <v>#DIV/0!</v>
      </c>
      <c r="F16" s="202"/>
    </row>
    <row r="17" spans="1:8" s="60" customFormat="1" x14ac:dyDescent="0.25">
      <c r="A17" s="74" t="s">
        <v>66</v>
      </c>
      <c r="B17" s="73" t="s">
        <v>43</v>
      </c>
      <c r="C17" s="203" t="e">
        <f>'C. Seed required - RTB'!$C$5</f>
        <v>#DIV/0!</v>
      </c>
      <c r="D17" s="200"/>
      <c r="E17" s="8" t="e">
        <f t="shared" si="0"/>
        <v>#DIV/0!</v>
      </c>
      <c r="F17" s="202"/>
    </row>
    <row r="18" spans="1:8" s="60" customFormat="1" x14ac:dyDescent="0.25">
      <c r="A18" s="74" t="s">
        <v>67</v>
      </c>
      <c r="B18" s="73" t="s">
        <v>43</v>
      </c>
      <c r="C18" s="203" t="e">
        <f>'C. Seed required - RTB'!$C$5</f>
        <v>#DIV/0!</v>
      </c>
      <c r="D18" s="200"/>
      <c r="E18" s="8" t="e">
        <f t="shared" si="0"/>
        <v>#DIV/0!</v>
      </c>
      <c r="F18" s="202"/>
    </row>
    <row r="19" spans="1:8" s="60" customFormat="1" x14ac:dyDescent="0.25">
      <c r="A19" s="74" t="s">
        <v>68</v>
      </c>
      <c r="B19" s="73" t="s">
        <v>43</v>
      </c>
      <c r="C19" s="203" t="e">
        <f>'C. Seed required - RTB'!$C$5</f>
        <v>#DIV/0!</v>
      </c>
      <c r="D19" s="200"/>
      <c r="E19" s="8" t="e">
        <f t="shared" si="0"/>
        <v>#DIV/0!</v>
      </c>
      <c r="F19" s="202"/>
    </row>
    <row r="20" spans="1:8" s="60" customFormat="1" x14ac:dyDescent="0.25">
      <c r="A20" s="74" t="s">
        <v>69</v>
      </c>
      <c r="B20" s="73" t="s">
        <v>43</v>
      </c>
      <c r="C20" s="203" t="e">
        <f>'C. Seed required - RTB'!$C$5</f>
        <v>#DIV/0!</v>
      </c>
      <c r="D20" s="200"/>
      <c r="E20" s="8" t="e">
        <f t="shared" si="0"/>
        <v>#DIV/0!</v>
      </c>
      <c r="F20" s="202"/>
    </row>
    <row r="21" spans="1:8" s="60" customFormat="1" x14ac:dyDescent="0.25">
      <c r="A21" s="74" t="s">
        <v>70</v>
      </c>
      <c r="B21" s="73" t="s">
        <v>43</v>
      </c>
      <c r="C21" s="203" t="e">
        <f>'C. Seed required - RTB'!$C$5</f>
        <v>#DIV/0!</v>
      </c>
      <c r="D21" s="200"/>
      <c r="E21" s="8" t="e">
        <f t="shared" si="0"/>
        <v>#DIV/0!</v>
      </c>
      <c r="F21" s="202"/>
    </row>
    <row r="22" spans="1:8" s="60" customFormat="1" x14ac:dyDescent="0.25">
      <c r="A22" s="74" t="s">
        <v>71</v>
      </c>
      <c r="B22" s="73" t="s">
        <v>43</v>
      </c>
      <c r="C22" s="203" t="e">
        <f>'C. Seed required - RTB'!$C$5</f>
        <v>#DIV/0!</v>
      </c>
      <c r="D22" s="200"/>
      <c r="E22" s="8" t="e">
        <f t="shared" si="0"/>
        <v>#DIV/0!</v>
      </c>
      <c r="F22" s="202"/>
    </row>
    <row r="23" spans="1:8" s="60" customFormat="1" x14ac:dyDescent="0.25">
      <c r="A23" s="74" t="s">
        <v>72</v>
      </c>
      <c r="B23" s="73" t="s">
        <v>43</v>
      </c>
      <c r="C23" s="203" t="e">
        <f>'C. Seed required - RTB'!$C$5</f>
        <v>#DIV/0!</v>
      </c>
      <c r="D23" s="200"/>
      <c r="E23" s="8" t="e">
        <f t="shared" si="0"/>
        <v>#DIV/0!</v>
      </c>
      <c r="F23" s="202"/>
    </row>
    <row r="24" spans="1:8" s="60" customFormat="1" x14ac:dyDescent="0.25">
      <c r="A24" s="74" t="s">
        <v>73</v>
      </c>
      <c r="B24" s="73" t="s">
        <v>43</v>
      </c>
      <c r="C24" s="203" t="e">
        <f>'C. Seed required - RTB'!$C$5</f>
        <v>#DIV/0!</v>
      </c>
      <c r="D24" s="200"/>
      <c r="E24" s="8" t="e">
        <f t="shared" si="0"/>
        <v>#DIV/0!</v>
      </c>
      <c r="F24" s="202"/>
    </row>
    <row r="25" spans="1:8" s="60" customFormat="1" x14ac:dyDescent="0.25">
      <c r="A25" s="74" t="s">
        <v>74</v>
      </c>
      <c r="B25" s="73" t="s">
        <v>43</v>
      </c>
      <c r="C25" s="203" t="e">
        <f>'C. Seed required - RTB'!$C$5</f>
        <v>#DIV/0!</v>
      </c>
      <c r="D25" s="200"/>
      <c r="E25" s="8" t="e">
        <f t="shared" si="0"/>
        <v>#DIV/0!</v>
      </c>
      <c r="F25" s="202"/>
    </row>
    <row r="26" spans="1:8" s="60" customFormat="1" x14ac:dyDescent="0.25">
      <c r="A26" s="74" t="s">
        <v>75</v>
      </c>
      <c r="B26" s="73" t="s">
        <v>46</v>
      </c>
      <c r="C26" s="203"/>
      <c r="D26" s="8">
        <f>[1]Trial_dimensions!B19</f>
        <v>20</v>
      </c>
      <c r="E26" s="8">
        <f t="shared" si="0"/>
        <v>0</v>
      </c>
      <c r="F26" s="202"/>
    </row>
    <row r="27" spans="1:8" s="60" customFormat="1" x14ac:dyDescent="0.25">
      <c r="A27" s="74" t="s">
        <v>76</v>
      </c>
      <c r="B27" s="73" t="s">
        <v>77</v>
      </c>
      <c r="C27" s="74"/>
      <c r="D27" s="205"/>
      <c r="E27" s="8">
        <f t="shared" si="0"/>
        <v>0</v>
      </c>
      <c r="F27" s="74"/>
    </row>
    <row r="28" spans="1:8" s="60" customFormat="1" x14ac:dyDescent="0.25">
      <c r="A28" s="162" t="s">
        <v>48</v>
      </c>
      <c r="B28" s="163"/>
      <c r="C28" s="164"/>
      <c r="D28" s="164"/>
      <c r="E28" s="165" t="e">
        <f>SUM(E3:E27)</f>
        <v>#DIV/0!</v>
      </c>
      <c r="F28" s="164"/>
    </row>
    <row r="29" spans="1:8" s="60" customFormat="1" x14ac:dyDescent="0.25">
      <c r="A29" s="162" t="s">
        <v>243</v>
      </c>
      <c r="B29" s="163"/>
      <c r="C29" s="164"/>
      <c r="D29" s="164"/>
      <c r="E29" s="166" t="e">
        <f>'C. Seed required - RTB'!C4*'C. Seed required - RTB'!C5*'C. Seed required - RTB'!C2</f>
        <v>#DIV/0!</v>
      </c>
      <c r="F29" s="164"/>
    </row>
    <row r="30" spans="1:8" s="60" customFormat="1" x14ac:dyDescent="0.25">
      <c r="A30" s="162" t="s">
        <v>78</v>
      </c>
      <c r="B30" s="163"/>
      <c r="C30" s="164"/>
      <c r="D30" s="164"/>
      <c r="E30" s="165" t="e">
        <f>E28/E29</f>
        <v>#DIV/0!</v>
      </c>
      <c r="F30" s="164"/>
      <c r="H30" s="167"/>
    </row>
    <row r="31" spans="1:8" s="60" customFormat="1" x14ac:dyDescent="0.25">
      <c r="A31" s="69"/>
      <c r="B31" s="69"/>
      <c r="F31"/>
    </row>
    <row r="32" spans="1:8" s="60" customFormat="1" x14ac:dyDescent="0.25">
      <c r="A32" s="168" t="s">
        <v>25</v>
      </c>
      <c r="B32" s="69"/>
      <c r="F32" s="18"/>
    </row>
    <row r="33" spans="1:3" s="60" customFormat="1" x14ac:dyDescent="0.25">
      <c r="A33" t="s">
        <v>49</v>
      </c>
      <c r="B33" s="69"/>
    </row>
    <row r="34" spans="1:3" s="60" customFormat="1" x14ac:dyDescent="0.25">
      <c r="A34" t="s">
        <v>79</v>
      </c>
      <c r="B34" s="69"/>
    </row>
    <row r="35" spans="1:3" s="60" customFormat="1" x14ac:dyDescent="0.25">
      <c r="B35" s="69"/>
      <c r="C35" s="141"/>
    </row>
  </sheetData>
  <sheetProtection sheet="1" objects="1" scenarios="1" selectLockedCell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3F790-E7A7-49D5-93F0-BD0DA8407490}">
  <sheetPr>
    <tabColor theme="4" tint="-0.499984740745262"/>
  </sheetPr>
  <dimension ref="A1:H41"/>
  <sheetViews>
    <sheetView zoomScale="120" zoomScaleNormal="120" workbookViewId="0">
      <pane ySplit="1" topLeftCell="A2" activePane="bottomLeft" state="frozen"/>
      <selection pane="bottomLeft" activeCell="C6" sqref="C6"/>
    </sheetView>
  </sheetViews>
  <sheetFormatPr defaultColWidth="9.140625" defaultRowHeight="15" x14ac:dyDescent="0.25"/>
  <cols>
    <col min="1" max="1" width="34.5703125" style="42" customWidth="1"/>
    <col min="2" max="2" width="15.85546875" style="42" customWidth="1"/>
    <col min="3" max="3" width="15.7109375" style="42" customWidth="1"/>
    <col min="4" max="6" width="15.85546875" style="42" customWidth="1"/>
    <col min="7" max="7" width="56.5703125" style="74" customWidth="1"/>
    <col min="8" max="16384" width="9.140625" style="74"/>
  </cols>
  <sheetData>
    <row r="1" spans="1:7" s="72" customFormat="1" ht="24.75" customHeight="1" x14ac:dyDescent="0.25">
      <c r="A1" s="61" t="s">
        <v>38</v>
      </c>
      <c r="B1" s="61" t="s">
        <v>80</v>
      </c>
      <c r="C1" s="61" t="s">
        <v>81</v>
      </c>
      <c r="D1" s="61" t="s">
        <v>82</v>
      </c>
      <c r="E1" s="61" t="s">
        <v>83</v>
      </c>
      <c r="F1" s="61" t="s">
        <v>84</v>
      </c>
      <c r="G1" s="61" t="s">
        <v>42</v>
      </c>
    </row>
    <row r="2" spans="1:7" x14ac:dyDescent="0.25">
      <c r="A2" s="63" t="s">
        <v>87</v>
      </c>
      <c r="B2" s="66"/>
      <c r="C2" s="66"/>
      <c r="D2" s="65" t="e">
        <f>'D. Seed multiplication - RTB'!E28</f>
        <v>#DIV/0!</v>
      </c>
      <c r="E2" s="170" t="e">
        <f>'D. Seed multiplication - RTB'!E29</f>
        <v>#DIV/0!</v>
      </c>
      <c r="F2" s="65" t="str">
        <f>IFERROR(D2/E2,"")</f>
        <v/>
      </c>
      <c r="G2" s="73"/>
    </row>
    <row r="3" spans="1:7" x14ac:dyDescent="0.25">
      <c r="A3" s="63" t="s">
        <v>87</v>
      </c>
      <c r="B3" s="66"/>
      <c r="C3" s="66"/>
      <c r="D3" s="75"/>
      <c r="E3" s="66"/>
      <c r="F3" s="65" t="str">
        <f t="shared" ref="F3:F25" si="0">IFERROR(D3/E3,"")</f>
        <v/>
      </c>
      <c r="G3" s="73"/>
    </row>
    <row r="4" spans="1:7" x14ac:dyDescent="0.25">
      <c r="A4" s="63" t="s">
        <v>87</v>
      </c>
      <c r="B4" s="66"/>
      <c r="C4" s="66"/>
      <c r="D4" s="75"/>
      <c r="E4" s="66"/>
      <c r="F4" s="65" t="str">
        <f t="shared" si="0"/>
        <v/>
      </c>
      <c r="G4" s="73"/>
    </row>
    <row r="5" spans="1:7" x14ac:dyDescent="0.25">
      <c r="A5" s="63" t="s">
        <v>87</v>
      </c>
      <c r="B5" s="66"/>
      <c r="C5" s="66"/>
      <c r="D5" s="64"/>
      <c r="E5" s="66"/>
      <c r="F5" s="65" t="str">
        <f t="shared" si="0"/>
        <v/>
      </c>
      <c r="G5" s="73"/>
    </row>
    <row r="6" spans="1:7" x14ac:dyDescent="0.25">
      <c r="A6" s="63" t="s">
        <v>87</v>
      </c>
      <c r="B6" s="66"/>
      <c r="C6" s="66"/>
      <c r="D6" s="64"/>
      <c r="E6" s="66"/>
      <c r="F6" s="65" t="str">
        <f t="shared" si="0"/>
        <v/>
      </c>
      <c r="G6" s="73"/>
    </row>
    <row r="7" spans="1:7" x14ac:dyDescent="0.25">
      <c r="A7" s="63" t="s">
        <v>87</v>
      </c>
      <c r="B7" s="66"/>
      <c r="C7" s="66"/>
      <c r="D7" s="64"/>
      <c r="E7" s="66"/>
      <c r="F7" s="65" t="str">
        <f t="shared" si="0"/>
        <v/>
      </c>
      <c r="G7" s="73"/>
    </row>
    <row r="8" spans="1:7" x14ac:dyDescent="0.25">
      <c r="A8" s="63" t="s">
        <v>87</v>
      </c>
      <c r="B8" s="66"/>
      <c r="C8" s="66"/>
      <c r="D8" s="64"/>
      <c r="E8" s="66"/>
      <c r="F8" s="65" t="str">
        <f t="shared" si="0"/>
        <v/>
      </c>
      <c r="G8" s="73"/>
    </row>
    <row r="9" spans="1:7" x14ac:dyDescent="0.25">
      <c r="A9" s="63" t="s">
        <v>87</v>
      </c>
      <c r="B9" s="66"/>
      <c r="C9" s="66"/>
      <c r="D9" s="64"/>
      <c r="E9" s="66"/>
      <c r="F9" s="65" t="str">
        <f t="shared" si="0"/>
        <v/>
      </c>
      <c r="G9" s="73"/>
    </row>
    <row r="10" spans="1:7" x14ac:dyDescent="0.25">
      <c r="A10" s="63" t="s">
        <v>87</v>
      </c>
      <c r="B10" s="66"/>
      <c r="C10" s="66"/>
      <c r="D10" s="64"/>
      <c r="E10" s="66"/>
      <c r="F10" s="65" t="str">
        <f t="shared" si="0"/>
        <v/>
      </c>
      <c r="G10" s="73"/>
    </row>
    <row r="11" spans="1:7" x14ac:dyDescent="0.25">
      <c r="A11" s="63" t="s">
        <v>87</v>
      </c>
      <c r="B11" s="66"/>
      <c r="C11" s="66"/>
      <c r="D11" s="75"/>
      <c r="E11" s="66"/>
      <c r="F11" s="65" t="str">
        <f t="shared" si="0"/>
        <v/>
      </c>
      <c r="G11" s="73"/>
    </row>
    <row r="12" spans="1:7" x14ac:dyDescent="0.25">
      <c r="A12" s="63" t="s">
        <v>87</v>
      </c>
      <c r="B12" s="66"/>
      <c r="C12" s="66"/>
      <c r="D12" s="75"/>
      <c r="E12" s="66"/>
      <c r="F12" s="65" t="str">
        <f t="shared" si="0"/>
        <v/>
      </c>
      <c r="G12" s="73"/>
    </row>
    <row r="13" spans="1:7" x14ac:dyDescent="0.25">
      <c r="A13" s="63" t="s">
        <v>87</v>
      </c>
      <c r="B13" s="66"/>
      <c r="C13" s="66"/>
      <c r="D13" s="75"/>
      <c r="E13" s="66"/>
      <c r="F13" s="65" t="str">
        <f t="shared" si="0"/>
        <v/>
      </c>
      <c r="G13" s="73"/>
    </row>
    <row r="14" spans="1:7" x14ac:dyDescent="0.25">
      <c r="A14" s="63" t="s">
        <v>87</v>
      </c>
      <c r="B14" s="66"/>
      <c r="C14" s="66"/>
      <c r="D14" s="66"/>
      <c r="F14" s="65" t="str">
        <f t="shared" si="0"/>
        <v/>
      </c>
    </row>
    <row r="15" spans="1:7" x14ac:dyDescent="0.25">
      <c r="A15" s="63" t="s">
        <v>87</v>
      </c>
      <c r="B15" s="66"/>
      <c r="C15" s="66"/>
      <c r="D15" s="76"/>
      <c r="E15" s="66"/>
      <c r="F15" s="65" t="str">
        <f t="shared" si="0"/>
        <v/>
      </c>
      <c r="G15" s="73"/>
    </row>
    <row r="16" spans="1:7" x14ac:dyDescent="0.25">
      <c r="A16" s="63" t="s">
        <v>87</v>
      </c>
      <c r="B16" s="66"/>
      <c r="C16" s="66"/>
      <c r="D16" s="66"/>
      <c r="E16" s="66"/>
      <c r="F16" s="65" t="str">
        <f t="shared" si="0"/>
        <v/>
      </c>
      <c r="G16" s="73"/>
    </row>
    <row r="17" spans="1:8" x14ac:dyDescent="0.25">
      <c r="A17" s="63" t="s">
        <v>87</v>
      </c>
      <c r="B17" s="66"/>
      <c r="C17" s="66"/>
      <c r="D17" s="66"/>
      <c r="E17" s="66"/>
      <c r="F17" s="65" t="str">
        <f t="shared" si="0"/>
        <v/>
      </c>
      <c r="G17" s="73"/>
    </row>
    <row r="18" spans="1:8" x14ac:dyDescent="0.25">
      <c r="A18" s="63" t="s">
        <v>87</v>
      </c>
      <c r="B18" s="66"/>
      <c r="C18" s="66"/>
      <c r="D18" s="66"/>
      <c r="E18" s="66"/>
      <c r="F18" s="65" t="str">
        <f t="shared" si="0"/>
        <v/>
      </c>
      <c r="G18" s="73"/>
    </row>
    <row r="19" spans="1:8" x14ac:dyDescent="0.25">
      <c r="A19" s="63" t="s">
        <v>87</v>
      </c>
      <c r="B19" s="66"/>
      <c r="C19" s="66"/>
      <c r="D19" s="66"/>
      <c r="E19" s="66"/>
      <c r="F19" s="65" t="str">
        <f t="shared" si="0"/>
        <v/>
      </c>
      <c r="G19" s="73"/>
    </row>
    <row r="20" spans="1:8" x14ac:dyDescent="0.25">
      <c r="A20" s="63" t="s">
        <v>87</v>
      </c>
      <c r="B20" s="66"/>
      <c r="C20" s="66"/>
      <c r="D20" s="66"/>
      <c r="E20" s="66"/>
      <c r="F20" s="65" t="str">
        <f t="shared" si="0"/>
        <v/>
      </c>
      <c r="G20" s="73"/>
    </row>
    <row r="21" spans="1:8" x14ac:dyDescent="0.25">
      <c r="A21" s="63" t="s">
        <v>87</v>
      </c>
      <c r="B21" s="66"/>
      <c r="C21" s="66"/>
      <c r="D21" s="66"/>
      <c r="E21" s="66"/>
      <c r="F21" s="65" t="str">
        <f t="shared" si="0"/>
        <v/>
      </c>
      <c r="H21" s="77"/>
    </row>
    <row r="22" spans="1:8" x14ac:dyDescent="0.25">
      <c r="A22" s="63" t="s">
        <v>87</v>
      </c>
      <c r="B22" s="66"/>
      <c r="C22" s="66"/>
      <c r="D22" s="66"/>
      <c r="E22" s="66"/>
      <c r="F22" s="65" t="str">
        <f t="shared" si="0"/>
        <v/>
      </c>
      <c r="H22" s="77"/>
    </row>
    <row r="23" spans="1:8" x14ac:dyDescent="0.25">
      <c r="A23" s="63" t="s">
        <v>87</v>
      </c>
      <c r="B23" s="66"/>
      <c r="C23" s="66"/>
      <c r="D23" s="66"/>
      <c r="E23" s="66"/>
      <c r="F23" s="65" t="str">
        <f t="shared" si="0"/>
        <v/>
      </c>
      <c r="H23" s="77"/>
    </row>
    <row r="24" spans="1:8" x14ac:dyDescent="0.25">
      <c r="A24" s="63" t="s">
        <v>88</v>
      </c>
      <c r="B24" s="66" t="s">
        <v>89</v>
      </c>
      <c r="C24" s="66" t="s">
        <v>90</v>
      </c>
      <c r="D24" s="75">
        <v>2.96</v>
      </c>
      <c r="E24" s="66">
        <v>1</v>
      </c>
      <c r="F24" s="65">
        <f>IFERROR(D24/E24,"")</f>
        <v>2.96</v>
      </c>
      <c r="G24" s="73" t="s">
        <v>91</v>
      </c>
    </row>
    <row r="25" spans="1:8" x14ac:dyDescent="0.25">
      <c r="A25" s="63" t="s">
        <v>92</v>
      </c>
      <c r="B25" s="66" t="s">
        <v>86</v>
      </c>
      <c r="C25" s="66" t="s">
        <v>93</v>
      </c>
      <c r="D25" s="64">
        <v>0.28000000000000003</v>
      </c>
      <c r="E25" s="66">
        <v>1</v>
      </c>
      <c r="F25" s="65">
        <f t="shared" si="0"/>
        <v>0.28000000000000003</v>
      </c>
      <c r="G25" s="73" t="s">
        <v>94</v>
      </c>
      <c r="H25" s="77"/>
    </row>
    <row r="27" spans="1:8" x14ac:dyDescent="0.25">
      <c r="A27" s="74" t="s">
        <v>95</v>
      </c>
    </row>
    <row r="28" spans="1:8" x14ac:dyDescent="0.25">
      <c r="A28" s="74" t="s">
        <v>96</v>
      </c>
    </row>
    <row r="29" spans="1:8" x14ac:dyDescent="0.25">
      <c r="A29" s="74" t="s">
        <v>97</v>
      </c>
    </row>
    <row r="30" spans="1:8" x14ac:dyDescent="0.25">
      <c r="A30" s="74" t="s">
        <v>98</v>
      </c>
      <c r="B30" s="78" t="s">
        <v>99</v>
      </c>
      <c r="C30" s="79"/>
    </row>
    <row r="31" spans="1:8" x14ac:dyDescent="0.25">
      <c r="A31" s="74" t="s">
        <v>100</v>
      </c>
      <c r="B31" s="80"/>
      <c r="D31" s="81" t="s">
        <v>101</v>
      </c>
    </row>
    <row r="32" spans="1:8" x14ac:dyDescent="0.25">
      <c r="A32" s="43" t="s">
        <v>102</v>
      </c>
      <c r="B32" s="78"/>
      <c r="F32" s="81" t="s">
        <v>103</v>
      </c>
    </row>
    <row r="33" spans="2:2" x14ac:dyDescent="0.25">
      <c r="B33" s="80"/>
    </row>
    <row r="34" spans="2:2" x14ac:dyDescent="0.25">
      <c r="B34" s="80"/>
    </row>
    <row r="35" spans="2:2" x14ac:dyDescent="0.25">
      <c r="B35" s="80"/>
    </row>
    <row r="36" spans="2:2" x14ac:dyDescent="0.25">
      <c r="B36" s="80"/>
    </row>
    <row r="37" spans="2:2" x14ac:dyDescent="0.25">
      <c r="B37" s="80"/>
    </row>
    <row r="38" spans="2:2" x14ac:dyDescent="0.25">
      <c r="B38" s="80"/>
    </row>
    <row r="39" spans="2:2" x14ac:dyDescent="0.25">
      <c r="B39" s="80"/>
    </row>
    <row r="40" spans="2:2" x14ac:dyDescent="0.25">
      <c r="B40" s="80"/>
    </row>
    <row r="41" spans="2:2" x14ac:dyDescent="0.25">
      <c r="B41" s="80"/>
    </row>
  </sheetData>
  <sheetProtection sheet="1"/>
  <phoneticPr fontId="15" type="noConversion"/>
  <dataValidations disablePrompts="1" count="1">
    <dataValidation allowBlank="1" showInputMessage="1" showErrorMessage="1" promptTitle="Travel reimbursement" prompt="Enter the travel cost per km as the sum of the current UN travel reimbursement rate and your country’s inflation-adjusted UN travel rate." sqref="D25" xr:uid="{235947AF-A7C5-441A-889A-68C887316625}"/>
  </dataValidations>
  <hyperlinks>
    <hyperlink ref="B30" r:id="rId1" xr:uid="{92A89CE3-2B91-4D95-A4C0-8BDA9794206B}"/>
    <hyperlink ref="D31" r:id="rId2" xr:uid="{5F6157B8-F034-4E9F-B9FD-65AB444EAFA4}"/>
  </hyperlinks>
  <pageMargins left="0.7" right="0.7" top="0.75" bottom="0.75" header="0.3" footer="0.3"/>
  <pageSetup orientation="portrait" r:id="rId3"/>
  <ignoredErrors>
    <ignoredError sqref="F2:F25 E2"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B87B9-F11D-4F13-A4BD-A2CD584C20B5}">
  <sheetPr>
    <tabColor rgb="FF00B0F0"/>
  </sheetPr>
  <dimension ref="A1:H29"/>
  <sheetViews>
    <sheetView topLeftCell="A11" zoomScaleNormal="100" workbookViewId="0">
      <selection activeCell="C23" sqref="C23:K31"/>
    </sheetView>
  </sheetViews>
  <sheetFormatPr defaultColWidth="9.140625" defaultRowHeight="15" x14ac:dyDescent="0.25"/>
  <cols>
    <col min="1" max="1" width="34.5703125" style="42" customWidth="1"/>
    <col min="2" max="2" width="19.7109375" style="42" customWidth="1"/>
    <col min="3" max="3" width="17.42578125" style="74" customWidth="1"/>
    <col min="4" max="4" width="15.85546875" style="74" customWidth="1"/>
    <col min="5" max="5" width="9.140625" style="74"/>
    <col min="6" max="6" width="14.28515625" style="74" bestFit="1" customWidth="1"/>
    <col min="7" max="7" width="10.5703125" style="74" bestFit="1" customWidth="1"/>
    <col min="8" max="16384" width="9.140625" style="74"/>
  </cols>
  <sheetData>
    <row r="1" spans="1:8" s="72" customFormat="1" ht="24.75" customHeight="1" x14ac:dyDescent="0.25">
      <c r="A1" s="82" t="s">
        <v>38</v>
      </c>
      <c r="B1" s="61" t="s">
        <v>104</v>
      </c>
      <c r="C1" s="82" t="s">
        <v>105</v>
      </c>
      <c r="D1" s="82" t="s">
        <v>106</v>
      </c>
    </row>
    <row r="2" spans="1:8" x14ac:dyDescent="0.25">
      <c r="A2" s="83" t="str" cm="1">
        <f t="array" ref="A2:A23">_xlfn._xlws.FILTER('E. Unit prices'!A2:A23, 'E. Unit prices'!A2:A23&lt;&gt;"")</f>
        <v>[Add if needed]</v>
      </c>
      <c r="B2" s="84">
        <f>'B. Trial dimensions'!B11*'B. Trial dimensions'!B14</f>
        <v>0</v>
      </c>
      <c r="C2" s="85">
        <f>$B2*'B. Trial dimensions'!$B$9</f>
        <v>0</v>
      </c>
      <c r="D2" s="86">
        <f>IF(ISNUMBER('E. Unit prices'!F2), $C2*'E. Unit prices'!F2, 0)</f>
        <v>0</v>
      </c>
      <c r="F2" s="77"/>
      <c r="G2" s="172"/>
    </row>
    <row r="3" spans="1:8" x14ac:dyDescent="0.25">
      <c r="A3" s="83" t="str">
        <v>[Add if needed]</v>
      </c>
      <c r="B3" s="66"/>
      <c r="C3" s="85">
        <f>$B3*'B. Trial dimensions'!$B$9</f>
        <v>0</v>
      </c>
      <c r="D3" s="86">
        <f>IF(ISNUMBER('E. Unit prices'!F3), $C3*'E. Unit prices'!F3, 0)</f>
        <v>0</v>
      </c>
    </row>
    <row r="4" spans="1:8" x14ac:dyDescent="0.25">
      <c r="A4" s="83" t="str">
        <v>[Add if needed]</v>
      </c>
      <c r="B4" s="66"/>
      <c r="C4" s="85">
        <f>$B4*'B. Trial dimensions'!$B$9</f>
        <v>0</v>
      </c>
      <c r="D4" s="86">
        <f>IF(ISNUMBER('E. Unit prices'!F4), $C4*'E. Unit prices'!F4, 0)</f>
        <v>0</v>
      </c>
    </row>
    <row r="5" spans="1:8" x14ac:dyDescent="0.25">
      <c r="A5" s="83" t="str">
        <v>[Add if needed]</v>
      </c>
      <c r="B5" s="66"/>
      <c r="C5" s="85">
        <f>$B5*'B. Trial dimensions'!$B$9</f>
        <v>0</v>
      </c>
      <c r="D5" s="86">
        <f>IF(ISNUMBER('E. Unit prices'!F5), $C5*'E. Unit prices'!F5, 0)</f>
        <v>0</v>
      </c>
    </row>
    <row r="6" spans="1:8" x14ac:dyDescent="0.25">
      <c r="A6" s="83" t="str">
        <v>[Add if needed]</v>
      </c>
      <c r="B6" s="66"/>
      <c r="C6" s="85">
        <f>$B6*'B. Trial dimensions'!$B$9</f>
        <v>0</v>
      </c>
      <c r="D6" s="86">
        <f>IF(ISNUMBER('E. Unit prices'!F6), $C6*'E. Unit prices'!F6, 0)</f>
        <v>0</v>
      </c>
    </row>
    <row r="7" spans="1:8" x14ac:dyDescent="0.25">
      <c r="A7" s="83" t="str">
        <v>[Add if needed]</v>
      </c>
      <c r="B7" s="66"/>
      <c r="C7" s="85">
        <f>$B7*'B. Trial dimensions'!$B$9</f>
        <v>0</v>
      </c>
      <c r="D7" s="86">
        <f>IF(ISNUMBER('E. Unit prices'!F7), $C7*'E. Unit prices'!F7, 0)</f>
        <v>0</v>
      </c>
    </row>
    <row r="8" spans="1:8" x14ac:dyDescent="0.25">
      <c r="A8" s="83" t="str">
        <v>[Add if needed]</v>
      </c>
      <c r="B8" s="66"/>
      <c r="C8" s="85">
        <f>$B8*'B. Trial dimensions'!$B$9</f>
        <v>0</v>
      </c>
      <c r="D8" s="86">
        <f>IF(ISNUMBER('E. Unit prices'!F8), $C8*'E. Unit prices'!F8, 0)</f>
        <v>0</v>
      </c>
    </row>
    <row r="9" spans="1:8" x14ac:dyDescent="0.25">
      <c r="A9" s="83" t="str">
        <v>[Add if needed]</v>
      </c>
      <c r="B9" s="66"/>
      <c r="C9" s="85">
        <f>$B9*'B. Trial dimensions'!$B$9</f>
        <v>0</v>
      </c>
      <c r="D9" s="86">
        <f>IF(ISNUMBER('E. Unit prices'!F9), $C9*'E. Unit prices'!F9, 0)</f>
        <v>0</v>
      </c>
    </row>
    <row r="10" spans="1:8" x14ac:dyDescent="0.25">
      <c r="A10" s="83" t="str">
        <v>[Add if needed]</v>
      </c>
      <c r="B10" s="66"/>
      <c r="C10" s="85">
        <f>$B10*'B. Trial dimensions'!$B$9</f>
        <v>0</v>
      </c>
      <c r="D10" s="86">
        <f>IF(ISNUMBER('E. Unit prices'!F10), $C10*'E. Unit prices'!F10, 0)</f>
        <v>0</v>
      </c>
      <c r="H10" s="74">
        <f>16200/500</f>
        <v>32.4</v>
      </c>
    </row>
    <row r="11" spans="1:8" x14ac:dyDescent="0.25">
      <c r="A11" s="83" t="str">
        <v>[Add if needed]</v>
      </c>
      <c r="B11" s="66"/>
      <c r="C11" s="85">
        <f>$B11*'B. Trial dimensions'!$B$9</f>
        <v>0</v>
      </c>
      <c r="D11" s="86">
        <f>IF(ISNUMBER('E. Unit prices'!F11), $C11*'E. Unit prices'!F11, 0)</f>
        <v>0</v>
      </c>
    </row>
    <row r="12" spans="1:8" x14ac:dyDescent="0.25">
      <c r="A12" s="83" t="str">
        <v>[Add if needed]</v>
      </c>
      <c r="B12" s="66"/>
      <c r="C12" s="85">
        <f>$B12*'B. Trial dimensions'!$B$9</f>
        <v>0</v>
      </c>
      <c r="D12" s="86">
        <f>IF(ISNUMBER('E. Unit prices'!F12), $C12*'E. Unit prices'!F12, 0)</f>
        <v>0</v>
      </c>
    </row>
    <row r="13" spans="1:8" x14ac:dyDescent="0.25">
      <c r="A13" s="83" t="str">
        <v>[Add if needed]</v>
      </c>
      <c r="B13" s="66"/>
      <c r="C13" s="85">
        <f>$B13*'B. Trial dimensions'!$B$9</f>
        <v>0</v>
      </c>
      <c r="D13" s="86">
        <f>IF(ISNUMBER('E. Unit prices'!F13), $C13*'E. Unit prices'!F13, 0)</f>
        <v>0</v>
      </c>
    </row>
    <row r="14" spans="1:8" x14ac:dyDescent="0.25">
      <c r="A14" s="83" t="str">
        <v>[Add if needed]</v>
      </c>
      <c r="B14" s="66"/>
      <c r="C14" s="85">
        <f>$B14*'B. Trial dimensions'!$B$9</f>
        <v>0</v>
      </c>
      <c r="D14" s="86">
        <f>IF(ISNUMBER('E. Unit prices'!F16), $C14*'E. Unit prices'!F16, 0)</f>
        <v>0</v>
      </c>
    </row>
    <row r="15" spans="1:8" x14ac:dyDescent="0.25">
      <c r="A15" s="83" t="str">
        <v>[Add if needed]</v>
      </c>
      <c r="B15" s="66"/>
      <c r="C15" s="85">
        <f>$B15*'B. Trial dimensions'!$B$9</f>
        <v>0</v>
      </c>
      <c r="D15" s="86">
        <f>IF(ISNUMBER('E. Unit prices'!F17), $C15*'E. Unit prices'!F17, 0)</f>
        <v>0</v>
      </c>
    </row>
    <row r="16" spans="1:8" x14ac:dyDescent="0.25">
      <c r="A16" s="83" t="str">
        <v>[Add if needed]</v>
      </c>
      <c r="B16" s="66"/>
      <c r="C16" s="85">
        <f>$B16*'B. Trial dimensions'!$B$9</f>
        <v>0</v>
      </c>
      <c r="D16" s="86">
        <f>IF(ISNUMBER('E. Unit prices'!F18), $C16*'E. Unit prices'!F18, 0)</f>
        <v>0</v>
      </c>
    </row>
    <row r="17" spans="1:8" x14ac:dyDescent="0.25">
      <c r="A17" s="83" t="str">
        <v>[Add if needed]</v>
      </c>
      <c r="B17" s="66"/>
      <c r="C17" s="85">
        <f>$B17*'B. Trial dimensions'!$B$9</f>
        <v>0</v>
      </c>
      <c r="D17" s="86">
        <f>IF(ISNUMBER('E. Unit prices'!F19), $C17*'E. Unit prices'!F19, 0)</f>
        <v>0</v>
      </c>
    </row>
    <row r="18" spans="1:8" x14ac:dyDescent="0.25">
      <c r="A18" s="83" t="str">
        <v>[Add if needed]</v>
      </c>
      <c r="B18" s="66"/>
      <c r="C18" s="85">
        <f>$B18*'B. Trial dimensions'!$B$9</f>
        <v>0</v>
      </c>
      <c r="D18" s="86">
        <f>IF(ISNUMBER('E. Unit prices'!F20), $C18*'E. Unit prices'!F20, 0)</f>
        <v>0</v>
      </c>
    </row>
    <row r="19" spans="1:8" x14ac:dyDescent="0.25">
      <c r="A19" s="83" t="str">
        <v>[Add if needed]</v>
      </c>
      <c r="B19" s="66"/>
      <c r="C19" s="85">
        <f>$B19*'B. Trial dimensions'!$B$9</f>
        <v>0</v>
      </c>
      <c r="D19" s="86">
        <f>IF(ISNUMBER('E. Unit prices'!F21), $C19*'E. Unit prices'!F21, 0)</f>
        <v>0</v>
      </c>
    </row>
    <row r="20" spans="1:8" x14ac:dyDescent="0.25">
      <c r="A20" s="83" t="str">
        <v>[Add if needed]</v>
      </c>
      <c r="B20" s="66"/>
      <c r="C20" s="85">
        <f>$B20*'B. Trial dimensions'!$B$9</f>
        <v>0</v>
      </c>
      <c r="D20" s="86">
        <f>IF(ISNUMBER('E. Unit prices'!F22), $C20*'E. Unit prices'!F22, 0)</f>
        <v>0</v>
      </c>
    </row>
    <row r="21" spans="1:8" x14ac:dyDescent="0.25">
      <c r="A21" s="83" t="str">
        <v>[Add if needed]</v>
      </c>
      <c r="B21" s="66"/>
      <c r="C21" s="85">
        <f>$B21*'B. Trial dimensions'!$B$9</f>
        <v>0</v>
      </c>
      <c r="D21" s="86">
        <f>IF(ISNUMBER('E. Unit prices'!F23), $C21*'E. Unit prices'!F23, 0)</f>
        <v>0</v>
      </c>
    </row>
    <row r="22" spans="1:8" x14ac:dyDescent="0.25">
      <c r="A22" s="83" t="str">
        <v>[Add if needed]</v>
      </c>
      <c r="B22" s="66"/>
      <c r="C22" s="85">
        <f>$B22*'B. Trial dimensions'!$B$9</f>
        <v>0</v>
      </c>
      <c r="D22" s="86">
        <f>IF(ISNUMBER('E. Unit prices'!#REF!), $C22*'E. Unit prices'!#REF!, 0)</f>
        <v>0</v>
      </c>
    </row>
    <row r="23" spans="1:8" x14ac:dyDescent="0.25">
      <c r="A23" s="83" t="str">
        <v>[Add if needed]</v>
      </c>
      <c r="B23" s="66"/>
      <c r="C23" s="85">
        <f>$B23*'B. Trial dimensions'!$B$9</f>
        <v>0</v>
      </c>
      <c r="D23" s="86">
        <f>IF(ISNUMBER('E. Unit prices'!F25), $C23*'E. Unit prices'!F25, 0)</f>
        <v>0</v>
      </c>
    </row>
    <row r="24" spans="1:8" x14ac:dyDescent="0.25">
      <c r="A24" s="44" t="s">
        <v>107</v>
      </c>
      <c r="B24" s="61"/>
      <c r="C24" s="82"/>
      <c r="D24" s="46">
        <f>SUM(D2:D23)</f>
        <v>0</v>
      </c>
      <c r="E24" s="77"/>
    </row>
    <row r="25" spans="1:8" x14ac:dyDescent="0.25">
      <c r="A25" s="45" t="s">
        <v>108</v>
      </c>
      <c r="B25" s="61"/>
      <c r="C25" s="82"/>
      <c r="D25" s="47" t="e">
        <f>D24/'B. Trial dimensions'!B9</f>
        <v>#DIV/0!</v>
      </c>
      <c r="H25" s="27"/>
    </row>
    <row r="26" spans="1:8" x14ac:dyDescent="0.25">
      <c r="A26" s="74"/>
    </row>
    <row r="27" spans="1:8" x14ac:dyDescent="0.25">
      <c r="A27" s="74"/>
    </row>
    <row r="28" spans="1:8" x14ac:dyDescent="0.25">
      <c r="A28" s="74"/>
    </row>
    <row r="29" spans="1:8" x14ac:dyDescent="0.25">
      <c r="A29" s="79"/>
    </row>
  </sheetData>
  <sheetProtection sheet="1"/>
  <pageMargins left="0.7" right="0.7" top="0.75" bottom="0.75" header="0.3" footer="0.3"/>
  <pageSetup orientation="portrait" r:id="rId1"/>
  <ignoredErrors>
    <ignoredError sqref="A2:A11 C3:D23 D24:D25 B2:C2" unlockedFormula="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AEEA0-46F5-4468-8B3A-1686124FBF59}">
  <sheetPr>
    <tabColor rgb="FFFFFF00"/>
  </sheetPr>
  <dimension ref="A1:J10"/>
  <sheetViews>
    <sheetView workbookViewId="0">
      <selection activeCell="H2" sqref="H2"/>
    </sheetView>
  </sheetViews>
  <sheetFormatPr defaultRowHeight="15" x14ac:dyDescent="0.25"/>
  <cols>
    <col min="1" max="1" width="25.140625" customWidth="1"/>
    <col min="2" max="2" width="9.28515625" customWidth="1"/>
    <col min="3" max="3" width="13.5703125" customWidth="1"/>
    <col min="4" max="6" width="15" customWidth="1"/>
    <col min="7" max="7" width="17" customWidth="1"/>
    <col min="8" max="8" width="22.140625" customWidth="1"/>
    <col min="9" max="9" width="117" bestFit="1" customWidth="1"/>
  </cols>
  <sheetData>
    <row r="1" spans="1:10" ht="47.25" x14ac:dyDescent="0.25">
      <c r="A1" s="6" t="s">
        <v>109</v>
      </c>
      <c r="B1" s="6" t="s">
        <v>81</v>
      </c>
      <c r="C1" s="6" t="s">
        <v>82</v>
      </c>
      <c r="D1" s="6" t="s">
        <v>110</v>
      </c>
      <c r="E1" s="6" t="s">
        <v>84</v>
      </c>
      <c r="F1" s="6" t="s">
        <v>111</v>
      </c>
      <c r="G1" s="6" t="s">
        <v>112</v>
      </c>
      <c r="H1" s="6" t="s">
        <v>113</v>
      </c>
      <c r="I1" s="6" t="s">
        <v>42</v>
      </c>
    </row>
    <row r="2" spans="1:10" x14ac:dyDescent="0.25">
      <c r="A2" s="11" t="s">
        <v>114</v>
      </c>
      <c r="B2" s="7" t="s">
        <v>47</v>
      </c>
      <c r="C2" s="9">
        <v>1.29</v>
      </c>
      <c r="D2" s="7">
        <v>10</v>
      </c>
      <c r="E2" s="8">
        <f>C2/D2</f>
        <v>0.129</v>
      </c>
      <c r="F2" s="22">
        <v>50000</v>
      </c>
      <c r="G2" s="7">
        <v>500</v>
      </c>
      <c r="H2" s="21">
        <f>G2/F2</f>
        <v>0.01</v>
      </c>
      <c r="I2" s="3" t="s">
        <v>115</v>
      </c>
    </row>
    <row r="3" spans="1:10" x14ac:dyDescent="0.25">
      <c r="A3" s="19" t="s">
        <v>116</v>
      </c>
      <c r="B3" s="10" t="s">
        <v>47</v>
      </c>
      <c r="C3" s="20">
        <v>1.44</v>
      </c>
      <c r="D3" s="10">
        <v>9</v>
      </c>
      <c r="E3" s="8">
        <f>C3/D3</f>
        <v>0.16</v>
      </c>
      <c r="F3" s="22">
        <v>50000</v>
      </c>
      <c r="G3" s="7">
        <v>500</v>
      </c>
      <c r="H3" s="21">
        <f t="shared" ref="H3:H4" si="0">G3/F3</f>
        <v>0.01</v>
      </c>
      <c r="I3" s="3" t="s">
        <v>117</v>
      </c>
    </row>
    <row r="4" spans="1:10" x14ac:dyDescent="0.25">
      <c r="A4" s="11" t="s">
        <v>118</v>
      </c>
      <c r="B4" s="7" t="s">
        <v>47</v>
      </c>
      <c r="C4" s="9">
        <v>1.44</v>
      </c>
      <c r="D4" s="7">
        <v>22</v>
      </c>
      <c r="E4" s="8">
        <f>C4/D4</f>
        <v>6.5454545454545446E-2</v>
      </c>
      <c r="F4" s="22">
        <v>5000</v>
      </c>
      <c r="G4" s="7">
        <v>100</v>
      </c>
      <c r="H4" s="21">
        <f t="shared" si="0"/>
        <v>0.02</v>
      </c>
      <c r="I4" s="3" t="s">
        <v>117</v>
      </c>
      <c r="J4" s="1"/>
    </row>
    <row r="7" spans="1:10" x14ac:dyDescent="0.25">
      <c r="A7" t="s">
        <v>119</v>
      </c>
    </row>
    <row r="8" spans="1:10" x14ac:dyDescent="0.25">
      <c r="A8" t="s">
        <v>120</v>
      </c>
    </row>
    <row r="9" spans="1:10" x14ac:dyDescent="0.25">
      <c r="A9" s="23" t="s">
        <v>121</v>
      </c>
    </row>
    <row r="10" spans="1:10" x14ac:dyDescent="0.25">
      <c r="A10" t="s">
        <v>122</v>
      </c>
    </row>
  </sheetData>
  <hyperlinks>
    <hyperlink ref="A9" r:id="rId1" xr:uid="{5B2FAAA0-7E8A-478A-83B2-0C629A73D42E}"/>
  </hyperlinks>
  <pageMargins left="0.7" right="0.7" top="0.75" bottom="0.75" header="0.3" footer="0.3"/>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3230C-CBEF-4A36-96EF-2114BED8918A}">
  <sheetPr>
    <tabColor rgb="FF002060"/>
  </sheetPr>
  <dimension ref="A1:J27"/>
  <sheetViews>
    <sheetView workbookViewId="0">
      <selection activeCell="E13" sqref="E13"/>
    </sheetView>
  </sheetViews>
  <sheetFormatPr defaultColWidth="9.140625" defaultRowHeight="15" x14ac:dyDescent="0.25"/>
  <cols>
    <col min="1" max="1" width="30.85546875" style="62" customWidth="1"/>
    <col min="2" max="2" width="17" style="62" customWidth="1"/>
    <col min="3" max="4" width="16.5703125" style="62" customWidth="1"/>
    <col min="5" max="5" width="16.42578125" style="57" customWidth="1"/>
    <col min="6" max="6" width="15.85546875" style="57" customWidth="1"/>
    <col min="7" max="9" width="9.140625" style="57"/>
    <col min="10" max="10" width="11.5703125" style="29" bestFit="1" customWidth="1"/>
    <col min="11" max="16384" width="9.140625" style="57"/>
  </cols>
  <sheetData>
    <row r="1" spans="1:6" ht="30" x14ac:dyDescent="0.25">
      <c r="A1" s="87" t="s">
        <v>123</v>
      </c>
      <c r="B1" s="61" t="s">
        <v>124</v>
      </c>
      <c r="C1" s="82" t="s">
        <v>125</v>
      </c>
      <c r="D1" s="82" t="s">
        <v>126</v>
      </c>
      <c r="E1" s="61" t="s">
        <v>127</v>
      </c>
      <c r="F1" s="61" t="s">
        <v>128</v>
      </c>
    </row>
    <row r="2" spans="1:6" x14ac:dyDescent="0.25">
      <c r="A2" s="63" t="s">
        <v>87</v>
      </c>
      <c r="B2" s="88"/>
      <c r="C2" s="89" t="e">
        <f>B2/'B. Trial dimensions'!$B$18</f>
        <v>#DIV/0!</v>
      </c>
      <c r="D2" s="89" t="e">
        <f>C2/'B. Trial dimensions'!$B$19</f>
        <v>#DIV/0!</v>
      </c>
      <c r="E2" s="88"/>
      <c r="F2" s="88"/>
    </row>
    <row r="3" spans="1:6" x14ac:dyDescent="0.25">
      <c r="A3" s="63" t="s">
        <v>87</v>
      </c>
      <c r="B3" s="88"/>
      <c r="C3" s="89" t="e">
        <f>B3/'B. Trial dimensions'!$B$18</f>
        <v>#DIV/0!</v>
      </c>
      <c r="D3" s="89" t="e">
        <f>C3/'B. Trial dimensions'!$B$19</f>
        <v>#DIV/0!</v>
      </c>
      <c r="E3" s="88"/>
      <c r="F3" s="88"/>
    </row>
    <row r="4" spans="1:6" x14ac:dyDescent="0.25">
      <c r="A4" s="63" t="s">
        <v>87</v>
      </c>
      <c r="B4" s="88"/>
      <c r="C4" s="89" t="e">
        <f>B4/'B. Trial dimensions'!$B$18</f>
        <v>#DIV/0!</v>
      </c>
      <c r="D4" s="89" t="e">
        <f>C4/'B. Trial dimensions'!$B$19</f>
        <v>#DIV/0!</v>
      </c>
      <c r="E4" s="88"/>
      <c r="F4" s="88"/>
    </row>
    <row r="5" spans="1:6" x14ac:dyDescent="0.25">
      <c r="A5" s="63" t="s">
        <v>87</v>
      </c>
      <c r="B5" s="90"/>
      <c r="C5" s="89" t="e">
        <f>B5/'B. Trial dimensions'!$B$18</f>
        <v>#DIV/0!</v>
      </c>
      <c r="D5" s="89" t="e">
        <f>C5/'B. Trial dimensions'!$B$19</f>
        <v>#DIV/0!</v>
      </c>
      <c r="E5" s="90"/>
      <c r="F5" s="88"/>
    </row>
    <row r="6" spans="1:6" x14ac:dyDescent="0.25">
      <c r="A6" s="63" t="s">
        <v>87</v>
      </c>
      <c r="B6" s="90"/>
      <c r="C6" s="89" t="e">
        <f>B6/'B. Trial dimensions'!$B$18</f>
        <v>#DIV/0!</v>
      </c>
      <c r="D6" s="89" t="e">
        <f>C6/'B. Trial dimensions'!$B$19</f>
        <v>#DIV/0!</v>
      </c>
      <c r="E6" s="90"/>
      <c r="F6" s="88"/>
    </row>
    <row r="7" spans="1:6" x14ac:dyDescent="0.25">
      <c r="A7" s="63" t="s">
        <v>87</v>
      </c>
      <c r="B7" s="90"/>
      <c r="C7" s="89" t="e">
        <f>B7/'B. Trial dimensions'!$B$18</f>
        <v>#DIV/0!</v>
      </c>
      <c r="D7" s="89" t="e">
        <f>C7/'B. Trial dimensions'!$B$19</f>
        <v>#DIV/0!</v>
      </c>
      <c r="E7" s="90"/>
      <c r="F7" s="88"/>
    </row>
    <row r="8" spans="1:6" x14ac:dyDescent="0.25">
      <c r="A8" s="63" t="s">
        <v>87</v>
      </c>
      <c r="B8" s="90"/>
      <c r="C8" s="89" t="e">
        <f>B8/'B. Trial dimensions'!$B$18</f>
        <v>#DIV/0!</v>
      </c>
      <c r="D8" s="89" t="e">
        <f>C8/'B. Trial dimensions'!$B$19</f>
        <v>#DIV/0!</v>
      </c>
      <c r="E8" s="90"/>
      <c r="F8" s="88"/>
    </row>
    <row r="9" spans="1:6" x14ac:dyDescent="0.25">
      <c r="A9" s="63" t="s">
        <v>87</v>
      </c>
      <c r="B9" s="90"/>
      <c r="C9" s="89" t="e">
        <f>B9/'B. Trial dimensions'!$B$18</f>
        <v>#DIV/0!</v>
      </c>
      <c r="D9" s="89" t="e">
        <f>C9/'B. Trial dimensions'!$B$19</f>
        <v>#DIV/0!</v>
      </c>
      <c r="E9" s="90"/>
      <c r="F9" s="88"/>
    </row>
    <row r="10" spans="1:6" x14ac:dyDescent="0.25">
      <c r="A10" s="63" t="s">
        <v>87</v>
      </c>
      <c r="B10" s="90"/>
      <c r="C10" s="89" t="e">
        <f>B10/'B. Trial dimensions'!$B$18</f>
        <v>#DIV/0!</v>
      </c>
      <c r="D10" s="89" t="e">
        <f>C10/'B. Trial dimensions'!$B$19</f>
        <v>#DIV/0!</v>
      </c>
      <c r="E10" s="90"/>
      <c r="F10" s="88"/>
    </row>
    <row r="11" spans="1:6" x14ac:dyDescent="0.25">
      <c r="A11" s="63" t="s">
        <v>87</v>
      </c>
      <c r="B11" s="90"/>
      <c r="C11" s="89" t="e">
        <f>B11/'B. Trial dimensions'!$B$18</f>
        <v>#DIV/0!</v>
      </c>
      <c r="D11" s="89" t="e">
        <f>C11/'B. Trial dimensions'!$B$19</f>
        <v>#DIV/0!</v>
      </c>
      <c r="E11" s="90"/>
      <c r="F11" s="88"/>
    </row>
    <row r="12" spans="1:6" x14ac:dyDescent="0.25">
      <c r="A12" s="63" t="s">
        <v>87</v>
      </c>
      <c r="B12" s="90"/>
      <c r="C12" s="89" t="e">
        <f>B12/'B. Trial dimensions'!$B$18</f>
        <v>#DIV/0!</v>
      </c>
      <c r="D12" s="89" t="e">
        <f>C12/'B. Trial dimensions'!$B$19</f>
        <v>#DIV/0!</v>
      </c>
      <c r="E12" s="90"/>
      <c r="F12" s="88"/>
    </row>
    <row r="13" spans="1:6" x14ac:dyDescent="0.25">
      <c r="A13" s="63" t="s">
        <v>87</v>
      </c>
      <c r="B13" s="90"/>
      <c r="C13" s="89" t="e">
        <f>B13/'B. Trial dimensions'!$B$18</f>
        <v>#DIV/0!</v>
      </c>
      <c r="D13" s="89" t="e">
        <f>C13/'B. Trial dimensions'!$B$19</f>
        <v>#DIV/0!</v>
      </c>
      <c r="E13" s="90"/>
      <c r="F13" s="88"/>
    </row>
    <row r="14" spans="1:6" x14ac:dyDescent="0.25">
      <c r="A14" s="63" t="s">
        <v>87</v>
      </c>
      <c r="B14" s="90"/>
      <c r="C14" s="89" t="e">
        <f>B14/'B. Trial dimensions'!$B$18</f>
        <v>#DIV/0!</v>
      </c>
      <c r="D14" s="89" t="e">
        <f>C14/'B. Trial dimensions'!$B$19</f>
        <v>#DIV/0!</v>
      </c>
      <c r="E14" s="90"/>
      <c r="F14" s="88"/>
    </row>
    <row r="15" spans="1:6" x14ac:dyDescent="0.25">
      <c r="A15" s="63" t="s">
        <v>87</v>
      </c>
      <c r="B15" s="90"/>
      <c r="C15" s="89" t="e">
        <f>B15/'B. Trial dimensions'!$B$18</f>
        <v>#DIV/0!</v>
      </c>
      <c r="D15" s="89" t="e">
        <f>C15/'B. Trial dimensions'!$B$19</f>
        <v>#DIV/0!</v>
      </c>
      <c r="E15" s="90"/>
      <c r="F15" s="88"/>
    </row>
    <row r="17" spans="1:4" x14ac:dyDescent="0.25">
      <c r="A17" s="91"/>
      <c r="B17" s="91"/>
      <c r="C17" s="91"/>
      <c r="D17" s="91"/>
    </row>
    <row r="18" spans="1:4" x14ac:dyDescent="0.25">
      <c r="A18" s="91"/>
      <c r="B18" s="91"/>
      <c r="C18" s="92"/>
      <c r="D18" s="91"/>
    </row>
    <row r="19" spans="1:4" x14ac:dyDescent="0.25">
      <c r="A19" s="91"/>
      <c r="B19" s="91"/>
      <c r="C19" s="91"/>
      <c r="D19" s="91"/>
    </row>
    <row r="20" spans="1:4" x14ac:dyDescent="0.25">
      <c r="A20" s="91"/>
      <c r="B20" s="91"/>
      <c r="C20" s="93"/>
      <c r="D20" s="91"/>
    </row>
    <row r="21" spans="1:4" x14ac:dyDescent="0.25">
      <c r="A21" s="91"/>
      <c r="B21" s="91"/>
      <c r="C21" s="93"/>
      <c r="D21" s="91"/>
    </row>
    <row r="22" spans="1:4" x14ac:dyDescent="0.25">
      <c r="A22" s="91"/>
      <c r="B22" s="91"/>
      <c r="C22" s="91"/>
      <c r="D22" s="91"/>
    </row>
    <row r="23" spans="1:4" x14ac:dyDescent="0.25">
      <c r="A23" s="91"/>
      <c r="B23" s="91"/>
      <c r="C23" s="91"/>
      <c r="D23" s="91"/>
    </row>
    <row r="24" spans="1:4" x14ac:dyDescent="0.25">
      <c r="A24" s="94"/>
      <c r="B24" s="94"/>
      <c r="C24" s="94"/>
      <c r="D24" s="94"/>
    </row>
    <row r="25" spans="1:4" x14ac:dyDescent="0.25">
      <c r="A25" s="94"/>
      <c r="B25" s="94"/>
      <c r="C25" s="94"/>
      <c r="D25" s="94"/>
    </row>
    <row r="26" spans="1:4" x14ac:dyDescent="0.25">
      <c r="A26" s="91"/>
      <c r="B26" s="91"/>
      <c r="C26" s="91"/>
      <c r="D26" s="91"/>
    </row>
    <row r="27" spans="1:4" x14ac:dyDescent="0.25">
      <c r="A27" s="91"/>
      <c r="B27" s="91"/>
      <c r="C27" s="91"/>
      <c r="D27" s="91"/>
    </row>
  </sheetData>
  <sheetProtection sheet="1"/>
  <autoFilter ref="A1:D8" xr:uid="{13CF9B20-95DF-4819-8294-B6F200A74B67}"/>
  <pageMargins left="0.7" right="0.7" top="0.75" bottom="0.75" header="0.3" footer="0.3"/>
  <pageSetup orientation="portrait" r:id="rId1"/>
  <ignoredErrors>
    <ignoredError sqref="C2:D15" unlocked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C5324-6253-4523-BB1E-AB7041FB3D80}">
  <sheetPr>
    <tabColor rgb="FF002060"/>
  </sheetPr>
  <dimension ref="A1:N26"/>
  <sheetViews>
    <sheetView zoomScaleNormal="100" workbookViewId="0">
      <selection activeCell="D15" sqref="D13:D15"/>
    </sheetView>
  </sheetViews>
  <sheetFormatPr defaultColWidth="9.140625" defaultRowHeight="15" x14ac:dyDescent="0.25"/>
  <cols>
    <col min="1" max="1" width="30.85546875" style="105" customWidth="1"/>
    <col min="2" max="3" width="12.7109375" style="105" customWidth="1"/>
    <col min="4" max="6" width="17.140625" style="105" customWidth="1"/>
    <col min="7" max="7" width="18.28515625" style="105" customWidth="1"/>
    <col min="8" max="8" width="13.7109375" style="105" customWidth="1"/>
    <col min="9" max="9" width="14.7109375" style="105" customWidth="1"/>
    <col min="10" max="12" width="13.7109375" style="105" customWidth="1"/>
    <col min="13" max="13" width="11.85546875" style="95" customWidth="1"/>
    <col min="14" max="14" width="43.42578125" style="95" customWidth="1"/>
    <col min="15" max="16384" width="9.140625" style="95"/>
  </cols>
  <sheetData>
    <row r="1" spans="1:14" ht="24" customHeight="1" x14ac:dyDescent="0.25">
      <c r="A1" s="87"/>
      <c r="B1" s="48" t="s">
        <v>136</v>
      </c>
      <c r="C1" s="176"/>
      <c r="D1" s="176"/>
      <c r="E1" s="176"/>
      <c r="F1" s="176"/>
      <c r="G1" s="177"/>
      <c r="H1" s="177"/>
      <c r="I1" s="177"/>
      <c r="J1" s="178"/>
      <c r="K1" s="178"/>
      <c r="L1" s="178"/>
      <c r="M1" s="178"/>
      <c r="N1" s="59"/>
    </row>
    <row r="2" spans="1:14" ht="30" x14ac:dyDescent="0.25">
      <c r="A2" s="59" t="s">
        <v>123</v>
      </c>
      <c r="B2" s="61" t="s">
        <v>137</v>
      </c>
      <c r="C2" s="82" t="s">
        <v>138</v>
      </c>
      <c r="D2" s="82" t="s">
        <v>139</v>
      </c>
      <c r="E2" s="82" t="s">
        <v>140</v>
      </c>
      <c r="F2" s="82" t="s">
        <v>141</v>
      </c>
      <c r="G2" s="82" t="s">
        <v>142</v>
      </c>
      <c r="H2" s="82" t="s">
        <v>143</v>
      </c>
      <c r="I2" s="82" t="s">
        <v>144</v>
      </c>
      <c r="J2" s="82" t="s">
        <v>145</v>
      </c>
      <c r="K2" s="82" t="s">
        <v>146</v>
      </c>
      <c r="L2" s="82" t="s">
        <v>147</v>
      </c>
      <c r="M2" s="82" t="s">
        <v>148</v>
      </c>
      <c r="N2" s="82" t="s">
        <v>42</v>
      </c>
    </row>
    <row r="3" spans="1:14" x14ac:dyDescent="0.25">
      <c r="A3" s="96" t="str" cm="1">
        <f t="array" ref="A3:A16">_xlfn._xlws.FILTER('G. Wages'!A2:A15, 'G. Wages'!A2:A15&lt;&gt;"")</f>
        <v>[Add if needed]</v>
      </c>
      <c r="B3" s="97"/>
      <c r="C3" s="97"/>
      <c r="D3" s="97"/>
      <c r="E3" s="97"/>
      <c r="F3" s="97"/>
      <c r="G3" s="98">
        <f>IF(E3&lt;='B. Trial dimensions'!$B$12*'B. Trial dimensions'!$B$9,E3*F3,"Number is too high")</f>
        <v>0</v>
      </c>
      <c r="H3" s="97"/>
      <c r="I3" s="97"/>
      <c r="J3" s="97"/>
      <c r="K3" s="97"/>
      <c r="L3" s="99">
        <f t="shared" ref="L3:L16" si="0">B3+C3+D3+G3+H3+I3+J3+K3</f>
        <v>0</v>
      </c>
      <c r="M3" s="100" t="e">
        <f>L3/'B. Trial dimensions'!$B$19</f>
        <v>#DIV/0!</v>
      </c>
      <c r="N3" s="97"/>
    </row>
    <row r="4" spans="1:14" x14ac:dyDescent="0.25">
      <c r="A4" s="96" t="str">
        <v>[Add if needed]</v>
      </c>
      <c r="B4" s="97"/>
      <c r="C4" s="97"/>
      <c r="D4" s="97"/>
      <c r="E4" s="97"/>
      <c r="F4" s="97"/>
      <c r="G4" s="98">
        <f>IF(E4&lt;='B. Trial dimensions'!$B$12*'B. Trial dimensions'!$B$9,E4*F4,"Number is too high")</f>
        <v>0</v>
      </c>
      <c r="H4" s="97"/>
      <c r="I4" s="97"/>
      <c r="J4" s="97"/>
      <c r="K4" s="97"/>
      <c r="L4" s="99">
        <f t="shared" si="0"/>
        <v>0</v>
      </c>
      <c r="M4" s="100" t="e">
        <f>L4/'B. Trial dimensions'!$B$19</f>
        <v>#DIV/0!</v>
      </c>
      <c r="N4" s="97"/>
    </row>
    <row r="5" spans="1:14" x14ac:dyDescent="0.25">
      <c r="A5" s="96" t="str">
        <v>[Add if needed]</v>
      </c>
      <c r="B5" s="97"/>
      <c r="C5" s="97"/>
      <c r="D5" s="97"/>
      <c r="E5" s="97"/>
      <c r="F5" s="97"/>
      <c r="G5" s="98">
        <f>IF(E5&lt;='B. Trial dimensions'!$B$12*'B. Trial dimensions'!$B$9,E5*F5,"Number is too high")</f>
        <v>0</v>
      </c>
      <c r="H5" s="97"/>
      <c r="I5" s="97"/>
      <c r="J5" s="97"/>
      <c r="K5" s="97"/>
      <c r="L5" s="99">
        <f t="shared" si="0"/>
        <v>0</v>
      </c>
      <c r="M5" s="100" t="e">
        <f>L5/'B. Trial dimensions'!$B$19</f>
        <v>#DIV/0!</v>
      </c>
      <c r="N5" s="97"/>
    </row>
    <row r="6" spans="1:14" x14ac:dyDescent="0.25">
      <c r="A6" s="96" t="str">
        <v>[Add if needed]</v>
      </c>
      <c r="B6" s="97"/>
      <c r="C6" s="97"/>
      <c r="D6" s="97"/>
      <c r="E6" s="97"/>
      <c r="F6" s="97"/>
      <c r="G6" s="98">
        <f>IF(E6&lt;='B. Trial dimensions'!$B$12*'B. Trial dimensions'!$B$9,E6*F6,"Number is too high")</f>
        <v>0</v>
      </c>
      <c r="H6" s="97"/>
      <c r="I6" s="97"/>
      <c r="J6" s="97"/>
      <c r="K6" s="97"/>
      <c r="L6" s="99">
        <f t="shared" si="0"/>
        <v>0</v>
      </c>
      <c r="M6" s="100" t="e">
        <f>L6/'B. Trial dimensions'!$B$19</f>
        <v>#DIV/0!</v>
      </c>
      <c r="N6" s="97"/>
    </row>
    <row r="7" spans="1:14" x14ac:dyDescent="0.25">
      <c r="A7" s="96" t="str">
        <v>[Add if needed]</v>
      </c>
      <c r="B7" s="97"/>
      <c r="C7" s="97"/>
      <c r="D7" s="97"/>
      <c r="E7" s="97"/>
      <c r="F7" s="97"/>
      <c r="G7" s="98">
        <f>IF(E7&lt;='B. Trial dimensions'!$B$12*'B. Trial dimensions'!$B$9,E7*F7,"Number is too high")</f>
        <v>0</v>
      </c>
      <c r="H7" s="97"/>
      <c r="I7" s="97"/>
      <c r="J7" s="97"/>
      <c r="K7" s="97"/>
      <c r="L7" s="99">
        <f t="shared" si="0"/>
        <v>0</v>
      </c>
      <c r="M7" s="100" t="e">
        <f>L7/'B. Trial dimensions'!$B$19</f>
        <v>#DIV/0!</v>
      </c>
      <c r="N7" s="97"/>
    </row>
    <row r="8" spans="1:14" x14ac:dyDescent="0.25">
      <c r="A8" s="96" t="str">
        <v>[Add if needed]</v>
      </c>
      <c r="B8" s="97"/>
      <c r="C8" s="97"/>
      <c r="D8" s="97"/>
      <c r="E8" s="97"/>
      <c r="F8" s="97"/>
      <c r="G8" s="98">
        <f>IF(E8&lt;='B. Trial dimensions'!$B$12*'B. Trial dimensions'!$B$9,E8*F8,"Number is too high")</f>
        <v>0</v>
      </c>
      <c r="H8" s="97"/>
      <c r="I8" s="97"/>
      <c r="J8" s="97"/>
      <c r="K8" s="97"/>
      <c r="L8" s="99">
        <f t="shared" si="0"/>
        <v>0</v>
      </c>
      <c r="M8" s="100" t="e">
        <f>L8/'B. Trial dimensions'!$B$19</f>
        <v>#DIV/0!</v>
      </c>
      <c r="N8" s="97"/>
    </row>
    <row r="9" spans="1:14" x14ac:dyDescent="0.25">
      <c r="A9" s="96" t="str">
        <v>[Add if needed]</v>
      </c>
      <c r="B9" s="97"/>
      <c r="C9" s="97"/>
      <c r="D9" s="97"/>
      <c r="E9" s="97"/>
      <c r="F9" s="97"/>
      <c r="G9" s="98">
        <f>IF(E9&lt;='B. Trial dimensions'!$B$13*'B. Trial dimensions'!$B$9,E9*F9,"Number is too high")</f>
        <v>0</v>
      </c>
      <c r="H9" s="97"/>
      <c r="I9" s="97"/>
      <c r="J9" s="97"/>
      <c r="K9" s="97"/>
      <c r="L9" s="99">
        <f t="shared" si="0"/>
        <v>0</v>
      </c>
      <c r="M9" s="100" t="e">
        <f>L9/'B. Trial dimensions'!$B$19</f>
        <v>#DIV/0!</v>
      </c>
      <c r="N9" s="97"/>
    </row>
    <row r="10" spans="1:14" x14ac:dyDescent="0.25">
      <c r="A10" s="96" t="str">
        <v>[Add if needed]</v>
      </c>
      <c r="B10" s="97"/>
      <c r="C10" s="97"/>
      <c r="D10" s="97"/>
      <c r="E10" s="97"/>
      <c r="F10" s="97"/>
      <c r="G10" s="98">
        <f>IF(E10&lt;='B. Trial dimensions'!$B$13*'B. Trial dimensions'!$B$9,E10*F10,"Number is too high")</f>
        <v>0</v>
      </c>
      <c r="H10" s="97"/>
      <c r="I10" s="97"/>
      <c r="J10" s="97"/>
      <c r="K10" s="97"/>
      <c r="L10" s="99">
        <f t="shared" si="0"/>
        <v>0</v>
      </c>
      <c r="M10" s="100" t="e">
        <f>L10/'B. Trial dimensions'!$B$19</f>
        <v>#DIV/0!</v>
      </c>
      <c r="N10" s="97"/>
    </row>
    <row r="11" spans="1:14" x14ac:dyDescent="0.25">
      <c r="A11" s="96" t="str">
        <v>[Add if needed]</v>
      </c>
      <c r="B11" s="97"/>
      <c r="C11" s="97"/>
      <c r="D11" s="97"/>
      <c r="E11" s="97"/>
      <c r="F11" s="97"/>
      <c r="G11" s="98">
        <f>IF(E11&lt;='B. Trial dimensions'!$B$13*'B. Trial dimensions'!$B$9,E11*F11,"Number is too high")</f>
        <v>0</v>
      </c>
      <c r="H11" s="97"/>
      <c r="I11" s="97"/>
      <c r="J11" s="97"/>
      <c r="K11" s="97"/>
      <c r="L11" s="99">
        <f t="shared" si="0"/>
        <v>0</v>
      </c>
      <c r="M11" s="100" t="e">
        <f>L11/'B. Trial dimensions'!$B$19</f>
        <v>#DIV/0!</v>
      </c>
      <c r="N11" s="97"/>
    </row>
    <row r="12" spans="1:14" x14ac:dyDescent="0.25">
      <c r="A12" s="96" t="str">
        <v>[Add if needed]</v>
      </c>
      <c r="B12" s="97"/>
      <c r="C12" s="97"/>
      <c r="D12" s="97"/>
      <c r="E12" s="97"/>
      <c r="F12" s="97"/>
      <c r="G12" s="98">
        <f>IF(E12&lt;='B. Trial dimensions'!$B$13*'B. Trial dimensions'!$B$9,E12*F12,"Number is too high")</f>
        <v>0</v>
      </c>
      <c r="H12" s="97"/>
      <c r="I12" s="97"/>
      <c r="J12" s="97"/>
      <c r="K12" s="97"/>
      <c r="L12" s="99">
        <f t="shared" si="0"/>
        <v>0</v>
      </c>
      <c r="M12" s="100" t="e">
        <f>L12/'B. Trial dimensions'!$B$19</f>
        <v>#DIV/0!</v>
      </c>
      <c r="N12" s="97"/>
    </row>
    <row r="13" spans="1:14" x14ac:dyDescent="0.25">
      <c r="A13" s="96" t="str">
        <v>[Add if needed]</v>
      </c>
      <c r="B13" s="97"/>
      <c r="C13" s="97"/>
      <c r="D13" s="97"/>
      <c r="E13" s="97"/>
      <c r="F13" s="97"/>
      <c r="G13" s="98">
        <f>IF(E13&lt;='B. Trial dimensions'!$B$13*'B. Trial dimensions'!$B$9,E13*F13,"Number is too high")</f>
        <v>0</v>
      </c>
      <c r="H13" s="97"/>
      <c r="I13" s="97"/>
      <c r="J13" s="97"/>
      <c r="K13" s="97"/>
      <c r="L13" s="99">
        <f t="shared" si="0"/>
        <v>0</v>
      </c>
      <c r="M13" s="100" t="e">
        <f>L13/'B. Trial dimensions'!$B$19</f>
        <v>#DIV/0!</v>
      </c>
      <c r="N13" s="97"/>
    </row>
    <row r="14" spans="1:14" x14ac:dyDescent="0.25">
      <c r="A14" s="96" t="str">
        <v>[Add if needed]</v>
      </c>
      <c r="B14" s="97"/>
      <c r="C14" s="97"/>
      <c r="D14" s="97"/>
      <c r="E14" s="97"/>
      <c r="F14" s="97"/>
      <c r="G14" s="98">
        <f>IF(E14&lt;='B. Trial dimensions'!$B$13*'B. Trial dimensions'!$B$9,E14*F14,"Number is too high")</f>
        <v>0</v>
      </c>
      <c r="H14" s="97"/>
      <c r="I14" s="97"/>
      <c r="J14" s="97"/>
      <c r="K14" s="97"/>
      <c r="L14" s="99">
        <f t="shared" si="0"/>
        <v>0</v>
      </c>
      <c r="M14" s="100" t="e">
        <f>L14/'B. Trial dimensions'!$B$19</f>
        <v>#DIV/0!</v>
      </c>
      <c r="N14" s="97"/>
    </row>
    <row r="15" spans="1:14" x14ac:dyDescent="0.25">
      <c r="A15" s="96" t="str">
        <v>[Add if needed]</v>
      </c>
      <c r="B15" s="97"/>
      <c r="C15" s="97"/>
      <c r="D15" s="97"/>
      <c r="E15" s="97"/>
      <c r="F15" s="97"/>
      <c r="G15" s="98">
        <f>IF(E15&lt;='B. Trial dimensions'!$B$13*'B. Trial dimensions'!$B$9,E15*F15,"Number is too high")</f>
        <v>0</v>
      </c>
      <c r="H15" s="97"/>
      <c r="I15" s="97"/>
      <c r="J15" s="97"/>
      <c r="K15" s="97"/>
      <c r="L15" s="99">
        <f t="shared" si="0"/>
        <v>0</v>
      </c>
      <c r="M15" s="100" t="e">
        <f>L15/'B. Trial dimensions'!$B$19</f>
        <v>#DIV/0!</v>
      </c>
      <c r="N15" s="97"/>
    </row>
    <row r="16" spans="1:14" x14ac:dyDescent="0.25">
      <c r="A16" s="96" t="str">
        <v>[Add if needed]</v>
      </c>
      <c r="B16" s="97"/>
      <c r="C16" s="97"/>
      <c r="D16" s="97"/>
      <c r="E16" s="97"/>
      <c r="F16" s="97"/>
      <c r="G16" s="98">
        <f>IF(E16&lt;='B. Trial dimensions'!$B$13*'B. Trial dimensions'!$B$9,E16*F16,"Number is too high")</f>
        <v>0</v>
      </c>
      <c r="H16" s="97"/>
      <c r="I16" s="97"/>
      <c r="J16" s="97"/>
      <c r="K16" s="97"/>
      <c r="L16" s="99">
        <f t="shared" si="0"/>
        <v>0</v>
      </c>
      <c r="M16" s="100" t="e">
        <f>L16/'B. Trial dimensions'!$B$19</f>
        <v>#DIV/0!</v>
      </c>
      <c r="N16" s="97"/>
    </row>
    <row r="17" spans="1:14" x14ac:dyDescent="0.25">
      <c r="A17" s="101" t="s">
        <v>149</v>
      </c>
      <c r="B17" s="99">
        <f>SUM(B3:B16)</f>
        <v>0</v>
      </c>
      <c r="C17" s="99">
        <f t="shared" ref="C17:K17" si="1">SUM(C3:C16)</f>
        <v>0</v>
      </c>
      <c r="D17" s="99">
        <f t="shared" si="1"/>
        <v>0</v>
      </c>
      <c r="E17" s="99">
        <f t="shared" si="1"/>
        <v>0</v>
      </c>
      <c r="F17" s="99">
        <f t="shared" si="1"/>
        <v>0</v>
      </c>
      <c r="G17" s="99">
        <f t="shared" si="1"/>
        <v>0</v>
      </c>
      <c r="H17" s="99">
        <f>SUM(H3:H16)</f>
        <v>0</v>
      </c>
      <c r="I17" s="99">
        <f t="shared" si="1"/>
        <v>0</v>
      </c>
      <c r="J17" s="99">
        <f t="shared" si="1"/>
        <v>0</v>
      </c>
      <c r="K17" s="99">
        <f t="shared" si="1"/>
        <v>0</v>
      </c>
      <c r="L17" s="102">
        <f>SUM(L3:L16)</f>
        <v>0</v>
      </c>
      <c r="M17" s="103" t="e">
        <f>SUM(M3:M16)</f>
        <v>#DIV/0!</v>
      </c>
      <c r="N17" s="61"/>
    </row>
    <row r="18" spans="1:14" x14ac:dyDescent="0.25">
      <c r="A18" s="67" t="s">
        <v>150</v>
      </c>
      <c r="B18" s="104" t="e">
        <f>B17/'B. Trial dimensions'!$B$19</f>
        <v>#DIV/0!</v>
      </c>
      <c r="C18" s="104" t="e">
        <f>C17/'B. Trial dimensions'!$B$19</f>
        <v>#DIV/0!</v>
      </c>
      <c r="D18" s="104" t="e">
        <f>D17/'B. Trial dimensions'!$B$19</f>
        <v>#DIV/0!</v>
      </c>
      <c r="E18" s="104" t="e">
        <f>E17/'B. Trial dimensions'!$B$19</f>
        <v>#DIV/0!</v>
      </c>
      <c r="F18" s="104" t="e">
        <f>F17/'B. Trial dimensions'!$B$19</f>
        <v>#DIV/0!</v>
      </c>
      <c r="G18" s="104" t="e">
        <f>G17/'B. Trial dimensions'!$B$19</f>
        <v>#DIV/0!</v>
      </c>
      <c r="H18" s="104" t="e">
        <f>H17/'B. Trial dimensions'!$B$19</f>
        <v>#DIV/0!</v>
      </c>
      <c r="I18" s="104" t="e">
        <f>I17/'B. Trial dimensions'!$B$19</f>
        <v>#DIV/0!</v>
      </c>
      <c r="J18" s="104" t="e">
        <f>J17/'B. Trial dimensions'!$B$19</f>
        <v>#DIV/0!</v>
      </c>
      <c r="K18" s="104" t="e">
        <f>K17/'B. Trial dimensions'!$B$19</f>
        <v>#DIV/0!</v>
      </c>
      <c r="L18" s="103" t="e">
        <f>L17/'B. Trial dimensions'!$B$19</f>
        <v>#DIV/0!</v>
      </c>
      <c r="M18" s="103"/>
      <c r="N18" s="61"/>
    </row>
    <row r="19" spans="1:14" x14ac:dyDescent="0.25">
      <c r="A19" s="80"/>
      <c r="B19" s="42"/>
      <c r="C19" s="42"/>
      <c r="D19" s="42"/>
      <c r="E19" s="42"/>
      <c r="F19" s="42"/>
      <c r="G19" s="42"/>
      <c r="H19" s="42"/>
      <c r="I19" s="42"/>
      <c r="J19" s="42"/>
      <c r="K19" s="42"/>
      <c r="L19" s="42"/>
      <c r="M19" s="74"/>
      <c r="N19" s="74"/>
    </row>
    <row r="20" spans="1:14" x14ac:dyDescent="0.25">
      <c r="A20" s="80" t="s">
        <v>151</v>
      </c>
      <c r="B20" s="42"/>
      <c r="C20" s="42"/>
      <c r="D20" s="42"/>
      <c r="E20" s="42"/>
      <c r="F20" s="42"/>
      <c r="G20" s="42"/>
      <c r="H20" s="42"/>
      <c r="I20" s="42"/>
      <c r="J20" s="42"/>
      <c r="K20" s="42"/>
      <c r="L20" s="42"/>
      <c r="M20" s="74"/>
      <c r="N20" s="74"/>
    </row>
    <row r="21" spans="1:14" x14ac:dyDescent="0.25">
      <c r="A21" s="73" t="s">
        <v>152</v>
      </c>
      <c r="B21" s="42"/>
      <c r="C21" s="42"/>
      <c r="D21" s="42"/>
      <c r="E21" s="42"/>
      <c r="F21" s="42"/>
      <c r="G21" s="42"/>
      <c r="H21" s="42"/>
      <c r="I21" s="42"/>
      <c r="J21" s="42"/>
      <c r="K21" s="42"/>
      <c r="L21" s="42"/>
      <c r="M21" s="74"/>
      <c r="N21" s="74"/>
    </row>
    <row r="22" spans="1:14" x14ac:dyDescent="0.25">
      <c r="A22" s="42"/>
      <c r="B22" s="42"/>
      <c r="C22" s="42"/>
      <c r="D22" s="42"/>
      <c r="E22" s="42"/>
      <c r="F22" s="42"/>
      <c r="G22" s="42"/>
      <c r="H22" s="42"/>
      <c r="I22" s="42"/>
      <c r="J22" s="42"/>
      <c r="K22" s="42"/>
      <c r="L22" s="42"/>
      <c r="M22" s="74"/>
      <c r="N22" s="74"/>
    </row>
    <row r="26" spans="1:14" x14ac:dyDescent="0.25">
      <c r="B26" s="49"/>
      <c r="C26" s="49"/>
      <c r="D26" s="49"/>
      <c r="E26" s="49"/>
      <c r="F26" s="49"/>
      <c r="G26" s="49"/>
      <c r="H26" s="49"/>
      <c r="I26" s="49"/>
      <c r="J26" s="49"/>
      <c r="K26" s="49"/>
      <c r="L26" s="49"/>
    </row>
  </sheetData>
  <sheetProtection sheet="1"/>
  <conditionalFormatting sqref="A3:A16">
    <cfRule type="containsText" dxfId="2" priority="1" operator="containsText" text="Number is too high">
      <formula>NOT(ISERROR(SEARCH("Number is too high",A3)))</formula>
    </cfRule>
  </conditionalFormatting>
  <conditionalFormatting sqref="G3:H16">
    <cfRule type="containsText" dxfId="1" priority="2" operator="containsText" text="Number is too high">
      <formula>NOT(ISERROR(SEARCH("Number is too high",G3)))</formula>
    </cfRule>
  </conditionalFormatting>
  <pageMargins left="0.7" right="0.7" top="0.75" bottom="0.75" header="0.3" footer="0.3"/>
  <pageSetup orientation="portrait" r:id="rId1"/>
  <ignoredErrors>
    <ignoredError sqref="G3:G7 L3:M16 M17 I17:I18 A3:A8 B17:G18 J17:L18" unlocked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7D251-ACD4-48B7-826D-2BBED0E287C1}">
  <sheetPr>
    <tabColor theme="9" tint="-0.499984740745262"/>
  </sheetPr>
  <dimension ref="A1:K21"/>
  <sheetViews>
    <sheetView zoomScaleNormal="100" workbookViewId="0">
      <selection activeCell="A5" sqref="A5"/>
    </sheetView>
  </sheetViews>
  <sheetFormatPr defaultColWidth="9.140625" defaultRowHeight="15" x14ac:dyDescent="0.25"/>
  <cols>
    <col min="1" max="1" width="30.85546875" style="95" customWidth="1"/>
    <col min="2" max="3" width="12.7109375" style="95" customWidth="1"/>
    <col min="4" max="4" width="17.140625" style="95" customWidth="1"/>
    <col min="5" max="5" width="18.28515625" style="95" customWidth="1"/>
    <col min="6" max="9" width="13.7109375" style="95" customWidth="1"/>
    <col min="10" max="10" width="17.28515625" style="95" customWidth="1"/>
    <col min="11" max="16384" width="9.140625" style="95"/>
  </cols>
  <sheetData>
    <row r="1" spans="1:11" ht="24" customHeight="1" x14ac:dyDescent="0.25">
      <c r="A1" s="176" t="s">
        <v>153</v>
      </c>
      <c r="B1" s="176"/>
      <c r="C1" s="176"/>
      <c r="D1" s="176"/>
      <c r="E1" s="177"/>
      <c r="F1" s="177"/>
      <c r="G1" s="177"/>
      <c r="H1" s="178"/>
      <c r="I1" s="178"/>
      <c r="J1" s="176"/>
    </row>
    <row r="2" spans="1:11" ht="30" x14ac:dyDescent="0.25">
      <c r="A2" s="59" t="s">
        <v>123</v>
      </c>
      <c r="B2" s="82" t="s">
        <v>137</v>
      </c>
      <c r="C2" s="82" t="s">
        <v>138</v>
      </c>
      <c r="D2" s="82" t="s">
        <v>139</v>
      </c>
      <c r="E2" s="82" t="s">
        <v>154</v>
      </c>
      <c r="F2" s="82" t="s">
        <v>143</v>
      </c>
      <c r="G2" s="82" t="s">
        <v>144</v>
      </c>
      <c r="H2" s="82" t="s">
        <v>145</v>
      </c>
      <c r="I2" s="82" t="s">
        <v>146</v>
      </c>
      <c r="J2" s="82" t="s">
        <v>155</v>
      </c>
    </row>
    <row r="3" spans="1:11" x14ac:dyDescent="0.25">
      <c r="A3" s="179" t="str" cm="1">
        <f t="array" ref="A3:A16">_xlfn._xlws.FILTER('G. Wages'!A2:A15, 'G. Wages'!A2:A15&lt;&gt; "")</f>
        <v>[Add if needed]</v>
      </c>
      <c r="B3" s="180" t="e">
        <f>'H. Labour time'!B3*'G. Wages'!$D2</f>
        <v>#DIV/0!</v>
      </c>
      <c r="C3" s="180" t="e">
        <f>'H. Labour time'!C3*'G. Wages'!$D2</f>
        <v>#DIV/0!</v>
      </c>
      <c r="D3" s="180" t="e">
        <f>'H. Labour time'!D3*'G. Wages'!$D2</f>
        <v>#DIV/0!</v>
      </c>
      <c r="E3" s="180" t="e">
        <f>'H. Labour time'!G3*'G. Wages'!$D2</f>
        <v>#DIV/0!</v>
      </c>
      <c r="F3" s="180" t="e">
        <f>'H. Labour time'!H3*'G. Wages'!$D2</f>
        <v>#DIV/0!</v>
      </c>
      <c r="G3" s="180" t="e">
        <f>'H. Labour time'!I3*'G. Wages'!$D2</f>
        <v>#DIV/0!</v>
      </c>
      <c r="H3" s="180" t="e">
        <f>'H. Labour time'!J3*'G. Wages'!$D2</f>
        <v>#DIV/0!</v>
      </c>
      <c r="I3" s="180" t="e">
        <f>'H. Labour time'!K3*'G. Wages'!$D2</f>
        <v>#DIV/0!</v>
      </c>
      <c r="J3" s="181" t="e">
        <f>SUM(B3:I3)</f>
        <v>#DIV/0!</v>
      </c>
      <c r="K3" s="142"/>
    </row>
    <row r="4" spans="1:11" x14ac:dyDescent="0.25">
      <c r="A4" s="179" t="str">
        <v>[Add if needed]</v>
      </c>
      <c r="B4" s="180" t="e">
        <f>'H. Labour time'!B4*'G. Wages'!$D3</f>
        <v>#DIV/0!</v>
      </c>
      <c r="C4" s="180" t="e">
        <f>'H. Labour time'!C4*'G. Wages'!$D3</f>
        <v>#DIV/0!</v>
      </c>
      <c r="D4" s="180" t="e">
        <f>'H. Labour time'!D4*'G. Wages'!$D3</f>
        <v>#DIV/0!</v>
      </c>
      <c r="E4" s="180" t="e">
        <f>'H. Labour time'!G4*'G. Wages'!$D3</f>
        <v>#DIV/0!</v>
      </c>
      <c r="F4" s="180" t="e">
        <f>'H. Labour time'!H4*'G. Wages'!$D3</f>
        <v>#DIV/0!</v>
      </c>
      <c r="G4" s="180" t="e">
        <f>'H. Labour time'!I4*'G. Wages'!$D3</f>
        <v>#DIV/0!</v>
      </c>
      <c r="H4" s="180" t="e">
        <f>'H. Labour time'!J4*'G. Wages'!$D3</f>
        <v>#DIV/0!</v>
      </c>
      <c r="I4" s="180" t="e">
        <f>'H. Labour time'!K4*'G. Wages'!$D3</f>
        <v>#DIV/0!</v>
      </c>
      <c r="J4" s="181" t="e">
        <f t="shared" ref="J4:J16" si="0">SUM(B4:I4)</f>
        <v>#DIV/0!</v>
      </c>
      <c r="K4" s="142"/>
    </row>
    <row r="5" spans="1:11" x14ac:dyDescent="0.25">
      <c r="A5" s="179" t="str">
        <v>[Add if needed]</v>
      </c>
      <c r="B5" s="180" t="e">
        <f>'H. Labour time'!B5*'G. Wages'!$D4</f>
        <v>#DIV/0!</v>
      </c>
      <c r="C5" s="180" t="e">
        <f>'H. Labour time'!C5*'G. Wages'!$D4</f>
        <v>#DIV/0!</v>
      </c>
      <c r="D5" s="180" t="e">
        <f>'H. Labour time'!D5*'G. Wages'!$D4</f>
        <v>#DIV/0!</v>
      </c>
      <c r="E5" s="180" t="e">
        <f>'H. Labour time'!G5*'G. Wages'!$D4</f>
        <v>#DIV/0!</v>
      </c>
      <c r="F5" s="180" t="e">
        <f>'H. Labour time'!H5*'G. Wages'!$D4</f>
        <v>#DIV/0!</v>
      </c>
      <c r="G5" s="180" t="e">
        <f>'H. Labour time'!I5*'G. Wages'!$D4</f>
        <v>#DIV/0!</v>
      </c>
      <c r="H5" s="180" t="e">
        <f>'H. Labour time'!J5*'G. Wages'!$D4</f>
        <v>#DIV/0!</v>
      </c>
      <c r="I5" s="180" t="e">
        <f>'H. Labour time'!K5*'G. Wages'!$D4</f>
        <v>#DIV/0!</v>
      </c>
      <c r="J5" s="181" t="e">
        <f t="shared" si="0"/>
        <v>#DIV/0!</v>
      </c>
      <c r="K5" s="142"/>
    </row>
    <row r="6" spans="1:11" x14ac:dyDescent="0.25">
      <c r="A6" s="179" t="str">
        <v>[Add if needed]</v>
      </c>
      <c r="B6" s="180" t="e">
        <f>'H. Labour time'!B6*'G. Wages'!$D5</f>
        <v>#DIV/0!</v>
      </c>
      <c r="C6" s="180" t="e">
        <f>'H. Labour time'!C6*'G. Wages'!$D5</f>
        <v>#DIV/0!</v>
      </c>
      <c r="D6" s="180" t="e">
        <f>'H. Labour time'!D6*'G. Wages'!$D5</f>
        <v>#DIV/0!</v>
      </c>
      <c r="E6" s="180" t="e">
        <f>'H. Labour time'!G6*'G. Wages'!$D5</f>
        <v>#DIV/0!</v>
      </c>
      <c r="F6" s="180" t="e">
        <f>'H. Labour time'!H6*'G. Wages'!$D5</f>
        <v>#DIV/0!</v>
      </c>
      <c r="G6" s="180" t="e">
        <f>'H. Labour time'!I6*'G. Wages'!$D5</f>
        <v>#DIV/0!</v>
      </c>
      <c r="H6" s="180" t="e">
        <f>'H. Labour time'!J6*'G. Wages'!$D5</f>
        <v>#DIV/0!</v>
      </c>
      <c r="I6" s="180" t="e">
        <f>'H. Labour time'!K6*'G. Wages'!$D5</f>
        <v>#DIV/0!</v>
      </c>
      <c r="J6" s="181" t="e">
        <f t="shared" si="0"/>
        <v>#DIV/0!</v>
      </c>
      <c r="K6" s="142"/>
    </row>
    <row r="7" spans="1:11" x14ac:dyDescent="0.25">
      <c r="A7" s="179" t="str">
        <v>[Add if needed]</v>
      </c>
      <c r="B7" s="180" t="e">
        <f>'H. Labour time'!B7*'G. Wages'!$D6</f>
        <v>#DIV/0!</v>
      </c>
      <c r="C7" s="180" t="e">
        <f>'H. Labour time'!C7*'G. Wages'!$D6</f>
        <v>#DIV/0!</v>
      </c>
      <c r="D7" s="180" t="e">
        <f>'H. Labour time'!D7*'G. Wages'!$D6</f>
        <v>#DIV/0!</v>
      </c>
      <c r="E7" s="180" t="e">
        <f>'H. Labour time'!G7*'G. Wages'!$D6</f>
        <v>#DIV/0!</v>
      </c>
      <c r="F7" s="180" t="e">
        <f>'H. Labour time'!H7*'G. Wages'!$D6</f>
        <v>#DIV/0!</v>
      </c>
      <c r="G7" s="180" t="e">
        <f>'H. Labour time'!I7*'G. Wages'!$D6</f>
        <v>#DIV/0!</v>
      </c>
      <c r="H7" s="180" t="e">
        <f>'H. Labour time'!J7*'G. Wages'!$D6</f>
        <v>#DIV/0!</v>
      </c>
      <c r="I7" s="180" t="e">
        <f>'H. Labour time'!K7*'G. Wages'!$D6</f>
        <v>#DIV/0!</v>
      </c>
      <c r="J7" s="181" t="e">
        <f t="shared" si="0"/>
        <v>#DIV/0!</v>
      </c>
      <c r="K7" s="142"/>
    </row>
    <row r="8" spans="1:11" x14ac:dyDescent="0.25">
      <c r="A8" s="179" t="str">
        <v>[Add if needed]</v>
      </c>
      <c r="B8" s="180" t="e">
        <f>'H. Labour time'!B8*'G. Wages'!$D7</f>
        <v>#DIV/0!</v>
      </c>
      <c r="C8" s="180" t="e">
        <f>'H. Labour time'!C8*'G. Wages'!$D7</f>
        <v>#DIV/0!</v>
      </c>
      <c r="D8" s="180" t="e">
        <f>'H. Labour time'!D8*'G. Wages'!$D7</f>
        <v>#DIV/0!</v>
      </c>
      <c r="E8" s="180" t="e">
        <f>'H. Labour time'!G8*'G. Wages'!$D7</f>
        <v>#DIV/0!</v>
      </c>
      <c r="F8" s="180" t="e">
        <f>'H. Labour time'!H8*'G. Wages'!$D7</f>
        <v>#DIV/0!</v>
      </c>
      <c r="G8" s="180" t="e">
        <f>'H. Labour time'!I8*'G. Wages'!$D7</f>
        <v>#DIV/0!</v>
      </c>
      <c r="H8" s="180" t="e">
        <f>'H. Labour time'!J8*'G. Wages'!$D7</f>
        <v>#DIV/0!</v>
      </c>
      <c r="I8" s="180" t="e">
        <f>'H. Labour time'!K8*'G. Wages'!$D7</f>
        <v>#DIV/0!</v>
      </c>
      <c r="J8" s="181" t="e">
        <f t="shared" si="0"/>
        <v>#DIV/0!</v>
      </c>
      <c r="K8" s="142"/>
    </row>
    <row r="9" spans="1:11" x14ac:dyDescent="0.25">
      <c r="A9" s="179" t="str">
        <v>[Add if needed]</v>
      </c>
      <c r="B9" s="180" t="e">
        <f>'H. Labour time'!B9*'G. Wages'!$D8</f>
        <v>#DIV/0!</v>
      </c>
      <c r="C9" s="180" t="e">
        <f>'H. Labour time'!C9*'G. Wages'!$D8</f>
        <v>#DIV/0!</v>
      </c>
      <c r="D9" s="180" t="e">
        <f>'H. Labour time'!D9*'G. Wages'!$D8</f>
        <v>#DIV/0!</v>
      </c>
      <c r="E9" s="180" t="e">
        <f>'H. Labour time'!G9*'G. Wages'!$D8</f>
        <v>#DIV/0!</v>
      </c>
      <c r="F9" s="180" t="e">
        <f>'H. Labour time'!H9*'G. Wages'!$D8</f>
        <v>#DIV/0!</v>
      </c>
      <c r="G9" s="180" t="e">
        <f>'H. Labour time'!I9*'G. Wages'!$D8</f>
        <v>#DIV/0!</v>
      </c>
      <c r="H9" s="180" t="e">
        <f>'H. Labour time'!J9*'G. Wages'!$D8</f>
        <v>#DIV/0!</v>
      </c>
      <c r="I9" s="180" t="e">
        <f>'H. Labour time'!K9*'G. Wages'!$D8</f>
        <v>#DIV/0!</v>
      </c>
      <c r="J9" s="181" t="e">
        <f t="shared" si="0"/>
        <v>#DIV/0!</v>
      </c>
      <c r="K9" s="142"/>
    </row>
    <row r="10" spans="1:11" x14ac:dyDescent="0.25">
      <c r="A10" s="179" t="str">
        <v>[Add if needed]</v>
      </c>
      <c r="B10" s="180" t="e">
        <f>'H. Labour time'!B10*'G. Wages'!$D9</f>
        <v>#DIV/0!</v>
      </c>
      <c r="C10" s="180" t="e">
        <f>'H. Labour time'!C10*'G. Wages'!$D9</f>
        <v>#DIV/0!</v>
      </c>
      <c r="D10" s="180" t="e">
        <f>'H. Labour time'!D10*'G. Wages'!$D9</f>
        <v>#DIV/0!</v>
      </c>
      <c r="E10" s="180" t="e">
        <f>'H. Labour time'!G10*'G. Wages'!$D9</f>
        <v>#DIV/0!</v>
      </c>
      <c r="F10" s="180" t="e">
        <f>'H. Labour time'!H10*'G. Wages'!$D9</f>
        <v>#DIV/0!</v>
      </c>
      <c r="G10" s="180" t="e">
        <f>'H. Labour time'!I10*'G. Wages'!$D9</f>
        <v>#DIV/0!</v>
      </c>
      <c r="H10" s="180" t="e">
        <f>'H. Labour time'!J10*'G. Wages'!$D9</f>
        <v>#DIV/0!</v>
      </c>
      <c r="I10" s="180" t="e">
        <f>'H. Labour time'!K10*'G. Wages'!$D9</f>
        <v>#DIV/0!</v>
      </c>
      <c r="J10" s="181" t="e">
        <f t="shared" si="0"/>
        <v>#DIV/0!</v>
      </c>
      <c r="K10" s="142"/>
    </row>
    <row r="11" spans="1:11" x14ac:dyDescent="0.25">
      <c r="A11" s="179" t="str">
        <v>[Add if needed]</v>
      </c>
      <c r="B11" s="180" t="e">
        <f>'H. Labour time'!B11*'G. Wages'!$D10</f>
        <v>#DIV/0!</v>
      </c>
      <c r="C11" s="180" t="e">
        <f>'H. Labour time'!C11*'G. Wages'!$D10</f>
        <v>#DIV/0!</v>
      </c>
      <c r="D11" s="180" t="e">
        <f>'H. Labour time'!D11*'G. Wages'!$D10</f>
        <v>#DIV/0!</v>
      </c>
      <c r="E11" s="180" t="e">
        <f>'H. Labour time'!G11*'G. Wages'!$D10</f>
        <v>#DIV/0!</v>
      </c>
      <c r="F11" s="180" t="e">
        <f>'H. Labour time'!H11*'G. Wages'!$D10</f>
        <v>#DIV/0!</v>
      </c>
      <c r="G11" s="180" t="e">
        <f>'H. Labour time'!I11*'G. Wages'!$D10</f>
        <v>#DIV/0!</v>
      </c>
      <c r="H11" s="180" t="e">
        <f>'H. Labour time'!J11*'G. Wages'!$D10</f>
        <v>#DIV/0!</v>
      </c>
      <c r="I11" s="180" t="e">
        <f>'H. Labour time'!K11*'G. Wages'!$D10</f>
        <v>#DIV/0!</v>
      </c>
      <c r="J11" s="181" t="e">
        <f t="shared" si="0"/>
        <v>#DIV/0!</v>
      </c>
      <c r="K11" s="142"/>
    </row>
    <row r="12" spans="1:11" x14ac:dyDescent="0.25">
      <c r="A12" s="179" t="str">
        <v>[Add if needed]</v>
      </c>
      <c r="B12" s="180" t="e">
        <f>'H. Labour time'!B12*'G. Wages'!$D11</f>
        <v>#DIV/0!</v>
      </c>
      <c r="C12" s="180" t="e">
        <f>'H. Labour time'!C12*'G. Wages'!$D11</f>
        <v>#DIV/0!</v>
      </c>
      <c r="D12" s="180" t="e">
        <f>'H. Labour time'!D12*'G. Wages'!$D11</f>
        <v>#DIV/0!</v>
      </c>
      <c r="E12" s="180" t="e">
        <f>'H. Labour time'!G12*'G. Wages'!$D11</f>
        <v>#DIV/0!</v>
      </c>
      <c r="F12" s="180" t="e">
        <f>'H. Labour time'!H12*'G. Wages'!$D11</f>
        <v>#DIV/0!</v>
      </c>
      <c r="G12" s="180" t="e">
        <f>'H. Labour time'!I12*'G. Wages'!$D11</f>
        <v>#DIV/0!</v>
      </c>
      <c r="H12" s="180" t="e">
        <f>'H. Labour time'!J12*'G. Wages'!$D11</f>
        <v>#DIV/0!</v>
      </c>
      <c r="I12" s="180" t="e">
        <f>'H. Labour time'!K12*'G. Wages'!$D11</f>
        <v>#DIV/0!</v>
      </c>
      <c r="J12" s="181" t="e">
        <f t="shared" si="0"/>
        <v>#DIV/0!</v>
      </c>
      <c r="K12" s="142"/>
    </row>
    <row r="13" spans="1:11" x14ac:dyDescent="0.25">
      <c r="A13" s="179" t="str">
        <v>[Add if needed]</v>
      </c>
      <c r="B13" s="180" t="e">
        <f>'H. Labour time'!B13*'G. Wages'!$D12</f>
        <v>#DIV/0!</v>
      </c>
      <c r="C13" s="180" t="e">
        <f>'H. Labour time'!C13*'G. Wages'!$D12</f>
        <v>#DIV/0!</v>
      </c>
      <c r="D13" s="180" t="e">
        <f>'H. Labour time'!D13*'G. Wages'!$D12</f>
        <v>#DIV/0!</v>
      </c>
      <c r="E13" s="180" t="e">
        <f>'H. Labour time'!G13*'G. Wages'!$D12</f>
        <v>#DIV/0!</v>
      </c>
      <c r="F13" s="180" t="e">
        <f>'H. Labour time'!H13*'G. Wages'!$D12</f>
        <v>#DIV/0!</v>
      </c>
      <c r="G13" s="180" t="e">
        <f>'H. Labour time'!I13*'G. Wages'!$D12</f>
        <v>#DIV/0!</v>
      </c>
      <c r="H13" s="180" t="e">
        <f>'H. Labour time'!J13*'G. Wages'!$D12</f>
        <v>#DIV/0!</v>
      </c>
      <c r="I13" s="180" t="e">
        <f>'H. Labour time'!K13*'G. Wages'!$D12</f>
        <v>#DIV/0!</v>
      </c>
      <c r="J13" s="181" t="e">
        <f t="shared" si="0"/>
        <v>#DIV/0!</v>
      </c>
      <c r="K13" s="142"/>
    </row>
    <row r="14" spans="1:11" x14ac:dyDescent="0.25">
      <c r="A14" s="179" t="str">
        <v>[Add if needed]</v>
      </c>
      <c r="B14" s="180" t="e">
        <f>'H. Labour time'!B14*'G. Wages'!$D13</f>
        <v>#DIV/0!</v>
      </c>
      <c r="C14" s="180" t="e">
        <f>'H. Labour time'!C14*'G. Wages'!$D13</f>
        <v>#DIV/0!</v>
      </c>
      <c r="D14" s="180" t="e">
        <f>'H. Labour time'!D14*'G. Wages'!$D13</f>
        <v>#DIV/0!</v>
      </c>
      <c r="E14" s="180" t="e">
        <f>'H. Labour time'!G14*'G. Wages'!$D13</f>
        <v>#DIV/0!</v>
      </c>
      <c r="F14" s="180" t="e">
        <f>'H. Labour time'!H14*'G. Wages'!$D13</f>
        <v>#DIV/0!</v>
      </c>
      <c r="G14" s="180" t="e">
        <f>'H. Labour time'!I14*'G. Wages'!$D13</f>
        <v>#DIV/0!</v>
      </c>
      <c r="H14" s="180" t="e">
        <f>'H. Labour time'!J14*'G. Wages'!$D13</f>
        <v>#DIV/0!</v>
      </c>
      <c r="I14" s="180" t="e">
        <f>'H. Labour time'!K14*'G. Wages'!$D13</f>
        <v>#DIV/0!</v>
      </c>
      <c r="J14" s="181" t="e">
        <f t="shared" si="0"/>
        <v>#DIV/0!</v>
      </c>
      <c r="K14" s="142"/>
    </row>
    <row r="15" spans="1:11" x14ac:dyDescent="0.25">
      <c r="A15" s="179" t="str">
        <v>[Add if needed]</v>
      </c>
      <c r="B15" s="180" t="e">
        <f>'H. Labour time'!B15*'G. Wages'!$D14</f>
        <v>#DIV/0!</v>
      </c>
      <c r="C15" s="180" t="e">
        <f>'H. Labour time'!C15*'G. Wages'!$D14</f>
        <v>#DIV/0!</v>
      </c>
      <c r="D15" s="180" t="e">
        <f>'H. Labour time'!D15*'G. Wages'!$D14</f>
        <v>#DIV/0!</v>
      </c>
      <c r="E15" s="180" t="e">
        <f>'H. Labour time'!G15*'G. Wages'!$D14</f>
        <v>#DIV/0!</v>
      </c>
      <c r="F15" s="180" t="e">
        <f>'H. Labour time'!H15*'G. Wages'!$D14</f>
        <v>#DIV/0!</v>
      </c>
      <c r="G15" s="180" t="e">
        <f>'H. Labour time'!I15*'G. Wages'!$D14</f>
        <v>#DIV/0!</v>
      </c>
      <c r="H15" s="180" t="e">
        <f>'H. Labour time'!J15*'G. Wages'!$D14</f>
        <v>#DIV/0!</v>
      </c>
      <c r="I15" s="180" t="e">
        <f>'H. Labour time'!K15*'G. Wages'!$D14</f>
        <v>#DIV/0!</v>
      </c>
      <c r="J15" s="181" t="e">
        <f t="shared" si="0"/>
        <v>#DIV/0!</v>
      </c>
      <c r="K15" s="142"/>
    </row>
    <row r="16" spans="1:11" x14ac:dyDescent="0.25">
      <c r="A16" s="179" t="str">
        <v>[Add if needed]</v>
      </c>
      <c r="B16" s="180" t="e">
        <f>'H. Labour time'!B16*'G. Wages'!$D15</f>
        <v>#DIV/0!</v>
      </c>
      <c r="C16" s="180" t="e">
        <f>'H. Labour time'!C16*'G. Wages'!$D15</f>
        <v>#DIV/0!</v>
      </c>
      <c r="D16" s="180" t="e">
        <f>'H. Labour time'!D16*'G. Wages'!$D15</f>
        <v>#DIV/0!</v>
      </c>
      <c r="E16" s="180" t="e">
        <f>'H. Labour time'!G16*'G. Wages'!$D15</f>
        <v>#DIV/0!</v>
      </c>
      <c r="F16" s="180" t="e">
        <f>'H. Labour time'!H16*'G. Wages'!$D15</f>
        <v>#DIV/0!</v>
      </c>
      <c r="G16" s="180" t="e">
        <f>'H. Labour time'!I16*'G. Wages'!$D15</f>
        <v>#DIV/0!</v>
      </c>
      <c r="H16" s="180" t="e">
        <f>'H. Labour time'!J16*'G. Wages'!$D15</f>
        <v>#DIV/0!</v>
      </c>
      <c r="I16" s="180" t="e">
        <f>'H. Labour time'!K16*'G. Wages'!$D15</f>
        <v>#DIV/0!</v>
      </c>
      <c r="J16" s="181" t="e">
        <f t="shared" si="0"/>
        <v>#DIV/0!</v>
      </c>
      <c r="K16" s="142"/>
    </row>
    <row r="17" spans="1:10" x14ac:dyDescent="0.25">
      <c r="A17" s="101" t="s">
        <v>156</v>
      </c>
      <c r="B17" s="182" t="e">
        <f t="shared" ref="B17:I17" si="1">SUM(B3:B16)</f>
        <v>#DIV/0!</v>
      </c>
      <c r="C17" s="182" t="e">
        <f t="shared" si="1"/>
        <v>#DIV/0!</v>
      </c>
      <c r="D17" s="182" t="e">
        <f t="shared" si="1"/>
        <v>#DIV/0!</v>
      </c>
      <c r="E17" s="182" t="e">
        <f t="shared" si="1"/>
        <v>#DIV/0!</v>
      </c>
      <c r="F17" s="182" t="e">
        <f t="shared" si="1"/>
        <v>#DIV/0!</v>
      </c>
      <c r="G17" s="182" t="e">
        <f t="shared" si="1"/>
        <v>#DIV/0!</v>
      </c>
      <c r="H17" s="182" t="e">
        <f t="shared" si="1"/>
        <v>#DIV/0!</v>
      </c>
      <c r="I17" s="182" t="e">
        <f t="shared" si="1"/>
        <v>#DIV/0!</v>
      </c>
      <c r="J17" s="68" t="e">
        <f>SUM(J3:J16)</f>
        <v>#DIV/0!</v>
      </c>
    </row>
    <row r="18" spans="1:10" x14ac:dyDescent="0.25">
      <c r="A18" s="80"/>
      <c r="B18" s="42"/>
      <c r="C18" s="42"/>
      <c r="D18" s="42"/>
      <c r="E18" s="42"/>
      <c r="F18" s="42"/>
      <c r="G18" s="42"/>
      <c r="H18" s="42"/>
      <c r="I18" s="42"/>
      <c r="J18" s="74"/>
    </row>
    <row r="19" spans="1:10" x14ac:dyDescent="0.25">
      <c r="A19" s="73" t="s">
        <v>157</v>
      </c>
      <c r="B19" s="42"/>
      <c r="C19" s="42"/>
      <c r="D19" s="42"/>
      <c r="E19" s="42"/>
      <c r="F19" s="42"/>
      <c r="G19" s="42"/>
      <c r="H19" s="42"/>
      <c r="I19" s="42"/>
      <c r="J19" s="74"/>
    </row>
    <row r="20" spans="1:10" x14ac:dyDescent="0.25">
      <c r="A20" s="42"/>
      <c r="B20" s="42"/>
      <c r="C20" s="42"/>
      <c r="D20" s="42"/>
      <c r="E20" s="42"/>
      <c r="F20" s="42"/>
      <c r="G20" s="42"/>
      <c r="H20" s="42"/>
      <c r="I20" s="42"/>
      <c r="J20" s="74"/>
    </row>
    <row r="21" spans="1:10" x14ac:dyDescent="0.25">
      <c r="A21" s="74"/>
      <c r="B21" s="74"/>
      <c r="C21" s="74"/>
      <c r="D21" s="74"/>
      <c r="E21" s="74"/>
      <c r="F21" s="74"/>
      <c r="G21" s="74"/>
      <c r="H21" s="74"/>
      <c r="I21" s="74"/>
      <c r="J21" s="74"/>
    </row>
  </sheetData>
  <sheetProtection sheet="1"/>
  <pageMargins left="0.7" right="0.7" top="0.75" bottom="0.75" header="0.3" footer="0.3"/>
  <ignoredErrors>
    <ignoredError sqref="A3:A8 J17" unlocked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FCEB6-49C1-4496-A4E9-0B86F3E3773E}">
  <sheetPr>
    <tabColor rgb="FF002060"/>
  </sheetPr>
  <dimension ref="A1:P30"/>
  <sheetViews>
    <sheetView topLeftCell="D7" workbookViewId="0">
      <selection activeCell="L16" sqref="I13:L16"/>
    </sheetView>
  </sheetViews>
  <sheetFormatPr defaultColWidth="9.140625" defaultRowHeight="15" x14ac:dyDescent="0.25"/>
  <cols>
    <col min="1" max="1" width="30.85546875" style="105" customWidth="1"/>
    <col min="2" max="3" width="12.7109375" style="105" customWidth="1"/>
    <col min="4" max="4" width="13.42578125" style="105" customWidth="1"/>
    <col min="5" max="6" width="17.140625" style="105" customWidth="1"/>
    <col min="7" max="8" width="18.28515625" style="105" customWidth="1"/>
    <col min="9" max="9" width="15.42578125" style="105" customWidth="1"/>
    <col min="10" max="10" width="13.7109375" style="105" customWidth="1"/>
    <col min="11" max="11" width="12.28515625" style="105" customWidth="1"/>
    <col min="12" max="13" width="12.7109375" style="105" customWidth="1"/>
    <col min="14" max="14" width="13.7109375" style="105" customWidth="1"/>
    <col min="15" max="16" width="13.42578125" style="95" customWidth="1"/>
    <col min="17" max="17" width="14.140625" style="95" customWidth="1"/>
    <col min="18" max="18" width="15.7109375" style="95" customWidth="1"/>
    <col min="19" max="16384" width="9.140625" style="95"/>
  </cols>
  <sheetData>
    <row r="1" spans="1:16" ht="24" customHeight="1" x14ac:dyDescent="0.25">
      <c r="A1" s="59"/>
      <c r="B1" s="176" t="s">
        <v>158</v>
      </c>
      <c r="C1" s="176"/>
      <c r="D1" s="176"/>
      <c r="E1" s="176"/>
      <c r="F1" s="176"/>
      <c r="G1" s="177"/>
      <c r="H1" s="177"/>
      <c r="I1" s="177"/>
      <c r="J1" s="178"/>
      <c r="K1" s="178"/>
      <c r="L1" s="178"/>
      <c r="M1" s="178"/>
      <c r="N1" s="178"/>
      <c r="O1" s="178"/>
      <c r="P1" s="178"/>
    </row>
    <row r="2" spans="1:16" ht="45" x14ac:dyDescent="0.25">
      <c r="A2" s="59" t="s">
        <v>123</v>
      </c>
      <c r="B2" s="82" t="s">
        <v>137</v>
      </c>
      <c r="C2" s="82" t="s">
        <v>138</v>
      </c>
      <c r="D2" s="82" t="s">
        <v>175</v>
      </c>
      <c r="E2" s="82" t="s">
        <v>140</v>
      </c>
      <c r="F2" s="82" t="s">
        <v>159</v>
      </c>
      <c r="G2" s="82" t="s">
        <v>142</v>
      </c>
      <c r="H2" s="82" t="s">
        <v>143</v>
      </c>
      <c r="I2" s="82" t="s">
        <v>144</v>
      </c>
      <c r="J2" s="82" t="s">
        <v>145</v>
      </c>
      <c r="K2" s="82" t="s">
        <v>146</v>
      </c>
      <c r="L2" s="82" t="s">
        <v>160</v>
      </c>
      <c r="M2" s="82" t="s">
        <v>161</v>
      </c>
      <c r="N2" s="82" t="s">
        <v>148</v>
      </c>
      <c r="O2" s="82" t="s">
        <v>162</v>
      </c>
      <c r="P2" s="82" t="s">
        <v>163</v>
      </c>
    </row>
    <row r="3" spans="1:16" x14ac:dyDescent="0.25">
      <c r="A3" s="107" t="str" cm="1">
        <f t="array" ref="A3:A16">_xlfn._xlws.FILTER('G. Wages'!A2:A15, 'G. Wages'!A2:A15&lt;&gt; "")</f>
        <v>[Add if needed]</v>
      </c>
      <c r="B3" s="97"/>
      <c r="C3" s="97"/>
      <c r="D3" s="97"/>
      <c r="E3" s="97"/>
      <c r="F3" s="97"/>
      <c r="G3" s="108" t="e">
        <f>IF(E3&lt;='B. Trial dimensions'!$B$12*'B. Trial dimensions'!$B$9,E3/F3,"Number is too high")</f>
        <v>#DIV/0!</v>
      </c>
      <c r="H3" s="97"/>
      <c r="I3" s="97"/>
      <c r="J3" s="97"/>
      <c r="K3" s="97"/>
      <c r="L3" s="97"/>
      <c r="M3" s="154">
        <f>'G. Wages'!F2*L3</f>
        <v>0</v>
      </c>
      <c r="N3" s="104" t="str">
        <f t="shared" ref="N3:N14" si="0">IFERROR(B3+C3+D3+G3+I3+J3+K3,"")</f>
        <v/>
      </c>
      <c r="O3" s="109" t="e">
        <f>N3*'G. Wages'!E2</f>
        <v>#VALUE!</v>
      </c>
      <c r="P3" s="110" t="e">
        <f t="shared" ref="P3:P16" si="1">M3+O3</f>
        <v>#VALUE!</v>
      </c>
    </row>
    <row r="4" spans="1:16" x14ac:dyDescent="0.25">
      <c r="A4" s="107" t="str">
        <v>[Add if needed]</v>
      </c>
      <c r="B4" s="97"/>
      <c r="C4" s="97"/>
      <c r="D4" s="97"/>
      <c r="E4" s="97"/>
      <c r="F4" s="97"/>
      <c r="G4" s="108" t="e">
        <f>IF(E4&lt;='B. Trial dimensions'!$B$12*'B. Trial dimensions'!$B$9,E4/F4,"Number is too high")</f>
        <v>#DIV/0!</v>
      </c>
      <c r="H4" s="97"/>
      <c r="I4" s="97"/>
      <c r="J4" s="97"/>
      <c r="K4" s="97"/>
      <c r="L4" s="97"/>
      <c r="M4" s="154">
        <f>'G. Wages'!F3*L4</f>
        <v>0</v>
      </c>
      <c r="N4" s="104" t="str">
        <f t="shared" si="0"/>
        <v/>
      </c>
      <c r="O4" s="109" t="e">
        <f>N4*'G. Wages'!E3</f>
        <v>#VALUE!</v>
      </c>
      <c r="P4" s="110" t="e">
        <f t="shared" si="1"/>
        <v>#VALUE!</v>
      </c>
    </row>
    <row r="5" spans="1:16" x14ac:dyDescent="0.25">
      <c r="A5" s="107" t="str">
        <v>[Add if needed]</v>
      </c>
      <c r="B5" s="97"/>
      <c r="C5" s="97"/>
      <c r="D5" s="97"/>
      <c r="E5" s="97"/>
      <c r="F5" s="97"/>
      <c r="G5" s="108" t="e">
        <f>IF(E5&lt;='B. Trial dimensions'!$B$12*'B. Trial dimensions'!$B$9,E5/F5,"Number is too high")</f>
        <v>#DIV/0!</v>
      </c>
      <c r="H5" s="97"/>
      <c r="I5" s="97"/>
      <c r="J5" s="97"/>
      <c r="K5" s="97"/>
      <c r="L5" s="97"/>
      <c r="M5" s="154">
        <f>'G. Wages'!F4*L5</f>
        <v>0</v>
      </c>
      <c r="N5" s="104" t="str">
        <f t="shared" si="0"/>
        <v/>
      </c>
      <c r="O5" s="109" t="e">
        <f>N5*'G. Wages'!E4</f>
        <v>#VALUE!</v>
      </c>
      <c r="P5" s="110" t="e">
        <f t="shared" si="1"/>
        <v>#VALUE!</v>
      </c>
    </row>
    <row r="6" spans="1:16" x14ac:dyDescent="0.25">
      <c r="A6" s="107" t="str">
        <v>[Add if needed]</v>
      </c>
      <c r="B6" s="97"/>
      <c r="C6" s="97"/>
      <c r="D6" s="97"/>
      <c r="E6" s="97"/>
      <c r="F6" s="97"/>
      <c r="G6" s="108" t="e">
        <f>IF(E6&lt;='B. Trial dimensions'!$B$12*'B. Trial dimensions'!$B$9,E6/F6,"Number is too high")</f>
        <v>#DIV/0!</v>
      </c>
      <c r="H6" s="97"/>
      <c r="I6" s="97"/>
      <c r="J6" s="97"/>
      <c r="K6" s="97"/>
      <c r="L6" s="97"/>
      <c r="M6" s="154">
        <f>'G. Wages'!F5*L6</f>
        <v>0</v>
      </c>
      <c r="N6" s="104" t="str">
        <f t="shared" si="0"/>
        <v/>
      </c>
      <c r="O6" s="109" t="e">
        <f>N6*'G. Wages'!E5</f>
        <v>#VALUE!</v>
      </c>
      <c r="P6" s="110" t="e">
        <f t="shared" si="1"/>
        <v>#VALUE!</v>
      </c>
    </row>
    <row r="7" spans="1:16" x14ac:dyDescent="0.25">
      <c r="A7" s="107" t="str">
        <v>[Add if needed]</v>
      </c>
      <c r="B7" s="97"/>
      <c r="C7" s="97"/>
      <c r="D7" s="97"/>
      <c r="E7" s="97"/>
      <c r="F7" s="97"/>
      <c r="G7" s="108" t="e">
        <f>IF(E7&lt;='B. Trial dimensions'!$B$12*'B. Trial dimensions'!$B$9,E7/F7,"Number is too high")</f>
        <v>#DIV/0!</v>
      </c>
      <c r="H7" s="97"/>
      <c r="I7" s="97"/>
      <c r="J7" s="97"/>
      <c r="K7" s="97"/>
      <c r="L7" s="97"/>
      <c r="M7" s="154">
        <f>'G. Wages'!F6*L7</f>
        <v>0</v>
      </c>
      <c r="N7" s="104" t="str">
        <f t="shared" si="0"/>
        <v/>
      </c>
      <c r="O7" s="109" t="e">
        <f>N7*'G. Wages'!E6</f>
        <v>#VALUE!</v>
      </c>
      <c r="P7" s="110" t="e">
        <f t="shared" si="1"/>
        <v>#VALUE!</v>
      </c>
    </row>
    <row r="8" spans="1:16" x14ac:dyDescent="0.25">
      <c r="A8" s="107" t="str">
        <v>[Add if needed]</v>
      </c>
      <c r="B8" s="97"/>
      <c r="C8" s="97"/>
      <c r="D8" s="97"/>
      <c r="E8" s="97"/>
      <c r="F8" s="97"/>
      <c r="G8" s="108" t="e">
        <f>IF(E8&lt;='B. Trial dimensions'!$B$12*'B. Trial dimensions'!$B$9,E8/F8,"Number is too high")</f>
        <v>#DIV/0!</v>
      </c>
      <c r="H8" s="97"/>
      <c r="I8" s="97"/>
      <c r="J8" s="97"/>
      <c r="K8" s="97"/>
      <c r="L8" s="97"/>
      <c r="M8" s="154">
        <f>'G. Wages'!F7*L8</f>
        <v>0</v>
      </c>
      <c r="N8" s="104" t="str">
        <f t="shared" si="0"/>
        <v/>
      </c>
      <c r="O8" s="109" t="e">
        <f>N8*'G. Wages'!E7</f>
        <v>#VALUE!</v>
      </c>
      <c r="P8" s="110" t="e">
        <f t="shared" si="1"/>
        <v>#VALUE!</v>
      </c>
    </row>
    <row r="9" spans="1:16" x14ac:dyDescent="0.25">
      <c r="A9" s="107" t="str">
        <v>[Add if needed]</v>
      </c>
      <c r="B9" s="97"/>
      <c r="C9" s="97"/>
      <c r="D9" s="97"/>
      <c r="E9" s="97"/>
      <c r="F9" s="97"/>
      <c r="G9" s="108" t="e">
        <f>IF(E9&lt;='B. Trial dimensions'!$B$13*'B. Trial dimensions'!$B$9,E9/F9,"Number is too high")</f>
        <v>#DIV/0!</v>
      </c>
      <c r="H9" s="97"/>
      <c r="I9" s="97"/>
      <c r="J9" s="97"/>
      <c r="K9" s="97"/>
      <c r="L9" s="97"/>
      <c r="M9" s="154">
        <f>'G. Wages'!F8*L9</f>
        <v>0</v>
      </c>
      <c r="N9" s="104" t="str">
        <f t="shared" si="0"/>
        <v/>
      </c>
      <c r="O9" s="109" t="e">
        <f>N9*'G. Wages'!E8</f>
        <v>#VALUE!</v>
      </c>
      <c r="P9" s="110" t="e">
        <f t="shared" si="1"/>
        <v>#VALUE!</v>
      </c>
    </row>
    <row r="10" spans="1:16" x14ac:dyDescent="0.25">
      <c r="A10" s="107" t="str">
        <v>[Add if needed]</v>
      </c>
      <c r="B10" s="97"/>
      <c r="C10" s="97"/>
      <c r="D10" s="97"/>
      <c r="E10" s="97"/>
      <c r="F10" s="97"/>
      <c r="G10" s="108" t="e">
        <f>IF(E10&lt;='B. Trial dimensions'!$B$13*'B. Trial dimensions'!$B$9,E10/F10,"Number is too high")</f>
        <v>#DIV/0!</v>
      </c>
      <c r="H10" s="97"/>
      <c r="I10" s="97"/>
      <c r="J10" s="97"/>
      <c r="K10" s="97"/>
      <c r="L10" s="97"/>
      <c r="M10" s="154">
        <f>'G. Wages'!F9*L10</f>
        <v>0</v>
      </c>
      <c r="N10" s="104" t="str">
        <f t="shared" si="0"/>
        <v/>
      </c>
      <c r="O10" s="109" t="e">
        <f>N10*'G. Wages'!E9</f>
        <v>#VALUE!</v>
      </c>
      <c r="P10" s="110" t="e">
        <f t="shared" si="1"/>
        <v>#VALUE!</v>
      </c>
    </row>
    <row r="11" spans="1:16" x14ac:dyDescent="0.25">
      <c r="A11" s="107" t="str">
        <v>[Add if needed]</v>
      </c>
      <c r="B11" s="97"/>
      <c r="C11" s="97"/>
      <c r="D11" s="97"/>
      <c r="E11" s="97"/>
      <c r="F11" s="97"/>
      <c r="G11" s="108" t="e">
        <f>IF(E11&lt;='B. Trial dimensions'!$B$13*'B. Trial dimensions'!$B$9,E11/F11,"Number is too high")</f>
        <v>#DIV/0!</v>
      </c>
      <c r="H11" s="97"/>
      <c r="I11" s="97"/>
      <c r="J11" s="97"/>
      <c r="K11" s="97"/>
      <c r="L11" s="97"/>
      <c r="M11" s="154">
        <f>'G. Wages'!F10*L11</f>
        <v>0</v>
      </c>
      <c r="N11" s="104" t="str">
        <f t="shared" si="0"/>
        <v/>
      </c>
      <c r="O11" s="109" t="e">
        <f>N11*'G. Wages'!E10</f>
        <v>#VALUE!</v>
      </c>
      <c r="P11" s="110" t="e">
        <f t="shared" si="1"/>
        <v>#VALUE!</v>
      </c>
    </row>
    <row r="12" spans="1:16" x14ac:dyDescent="0.25">
      <c r="A12" s="107" t="str">
        <v>[Add if needed]</v>
      </c>
      <c r="B12" s="97"/>
      <c r="C12" s="97"/>
      <c r="D12" s="97"/>
      <c r="E12" s="97"/>
      <c r="F12" s="97"/>
      <c r="G12" s="108" t="e">
        <f>IF(E12&lt;='B. Trial dimensions'!$B$13*'B. Trial dimensions'!$B$9,E12/F12,"Number is too high")</f>
        <v>#DIV/0!</v>
      </c>
      <c r="H12" s="97"/>
      <c r="I12" s="97"/>
      <c r="J12" s="97"/>
      <c r="K12" s="97"/>
      <c r="L12" s="97"/>
      <c r="M12" s="154">
        <f>'G. Wages'!F11*L12</f>
        <v>0</v>
      </c>
      <c r="N12" s="104" t="str">
        <f t="shared" si="0"/>
        <v/>
      </c>
      <c r="O12" s="109" t="e">
        <f>N12*'G. Wages'!E11</f>
        <v>#VALUE!</v>
      </c>
      <c r="P12" s="110" t="e">
        <f t="shared" si="1"/>
        <v>#VALUE!</v>
      </c>
    </row>
    <row r="13" spans="1:16" x14ac:dyDescent="0.25">
      <c r="A13" s="107" t="str">
        <v>[Add if needed]</v>
      </c>
      <c r="B13" s="97"/>
      <c r="C13" s="97"/>
      <c r="D13" s="97"/>
      <c r="E13" s="97"/>
      <c r="F13" s="97"/>
      <c r="G13" s="108" t="e">
        <f>IF(E13&lt;='B. Trial dimensions'!$B$13*'B. Trial dimensions'!$B$9,E13/F13,"Number is too high")</f>
        <v>#DIV/0!</v>
      </c>
      <c r="H13" s="97"/>
      <c r="I13" s="97"/>
      <c r="J13" s="97"/>
      <c r="K13" s="97"/>
      <c r="L13" s="97"/>
      <c r="M13" s="154">
        <f>'G. Wages'!F12*L13</f>
        <v>0</v>
      </c>
      <c r="N13" s="104" t="str">
        <f t="shared" si="0"/>
        <v/>
      </c>
      <c r="O13" s="109" t="e">
        <f>N13*'G. Wages'!E12</f>
        <v>#VALUE!</v>
      </c>
      <c r="P13" s="110" t="e">
        <f t="shared" si="1"/>
        <v>#VALUE!</v>
      </c>
    </row>
    <row r="14" spans="1:16" x14ac:dyDescent="0.25">
      <c r="A14" s="107" t="str">
        <v>[Add if needed]</v>
      </c>
      <c r="B14" s="97"/>
      <c r="C14" s="97"/>
      <c r="D14" s="97"/>
      <c r="E14" s="97"/>
      <c r="F14" s="97"/>
      <c r="G14" s="108" t="e">
        <f>IF(E14&lt;='B. Trial dimensions'!$B$13*'B. Trial dimensions'!$B$9,E14/F14,"Number is too high")</f>
        <v>#DIV/0!</v>
      </c>
      <c r="H14" s="97"/>
      <c r="I14" s="97"/>
      <c r="J14" s="97"/>
      <c r="K14" s="97"/>
      <c r="L14" s="97"/>
      <c r="M14" s="154">
        <f>'G. Wages'!F13*L14</f>
        <v>0</v>
      </c>
      <c r="N14" s="104" t="str">
        <f t="shared" si="0"/>
        <v/>
      </c>
      <c r="O14" s="109" t="e">
        <f>N14*'G. Wages'!E13</f>
        <v>#VALUE!</v>
      </c>
      <c r="P14" s="110" t="e">
        <f t="shared" si="1"/>
        <v>#VALUE!</v>
      </c>
    </row>
    <row r="15" spans="1:16" x14ac:dyDescent="0.25">
      <c r="A15" s="107" t="str">
        <v>[Add if needed]</v>
      </c>
      <c r="B15" s="97"/>
      <c r="C15" s="97"/>
      <c r="D15" s="97"/>
      <c r="E15" s="97"/>
      <c r="F15" s="97"/>
      <c r="G15" s="108" t="e">
        <f>IF(E15&lt;='B. Trial dimensions'!$B$13*'B. Trial dimensions'!$B$9,E15/F15,"Number is too high")</f>
        <v>#DIV/0!</v>
      </c>
      <c r="H15" s="97"/>
      <c r="I15" s="97"/>
      <c r="J15" s="97"/>
      <c r="K15" s="97"/>
      <c r="L15" s="97"/>
      <c r="M15" s="154">
        <f>'G. Wages'!F14*L15</f>
        <v>0</v>
      </c>
      <c r="N15" s="104"/>
      <c r="O15" s="109">
        <f>N15*'G. Wages'!E14</f>
        <v>0</v>
      </c>
      <c r="P15" s="110">
        <f t="shared" si="1"/>
        <v>0</v>
      </c>
    </row>
    <row r="16" spans="1:16" x14ac:dyDescent="0.25">
      <c r="A16" s="107" t="str">
        <v>[Add if needed]</v>
      </c>
      <c r="B16" s="97"/>
      <c r="C16" s="97"/>
      <c r="D16" s="97"/>
      <c r="E16" s="97"/>
      <c r="F16" s="97"/>
      <c r="G16" s="108" t="e">
        <f>IF(E16&lt;='B. Trial dimensions'!$B$13*'B. Trial dimensions'!$B$9,E16/F16,"Number is too high")</f>
        <v>#DIV/0!</v>
      </c>
      <c r="H16" s="97"/>
      <c r="I16" s="97"/>
      <c r="J16" s="97"/>
      <c r="K16" s="97"/>
      <c r="L16" s="97"/>
      <c r="M16" s="154">
        <f>'G. Wages'!F15*L16</f>
        <v>0</v>
      </c>
      <c r="N16" s="104"/>
      <c r="O16" s="109">
        <f>N16*'G. Wages'!E15</f>
        <v>0</v>
      </c>
      <c r="P16" s="110">
        <f t="shared" si="1"/>
        <v>0</v>
      </c>
    </row>
    <row r="17" spans="1:16" x14ac:dyDescent="0.25">
      <c r="A17" s="101" t="s">
        <v>150</v>
      </c>
      <c r="B17" s="99">
        <f>SUM(B3:B16)</f>
        <v>0</v>
      </c>
      <c r="C17" s="99">
        <f t="shared" ref="C17:K17" si="2">SUM(C3:C16)</f>
        <v>0</v>
      </c>
      <c r="D17" s="99">
        <f t="shared" si="2"/>
        <v>0</v>
      </c>
      <c r="E17" s="99">
        <f t="shared" si="2"/>
        <v>0</v>
      </c>
      <c r="F17" s="99">
        <f t="shared" si="2"/>
        <v>0</v>
      </c>
      <c r="G17" s="100" t="e">
        <f t="shared" si="2"/>
        <v>#DIV/0!</v>
      </c>
      <c r="H17" s="100">
        <f t="shared" si="2"/>
        <v>0</v>
      </c>
      <c r="I17" s="99">
        <f t="shared" si="2"/>
        <v>0</v>
      </c>
      <c r="J17" s="99">
        <f t="shared" si="2"/>
        <v>0</v>
      </c>
      <c r="K17" s="99">
        <f t="shared" si="2"/>
        <v>0</v>
      </c>
      <c r="L17" s="106">
        <f>SUM(L3:L16)</f>
        <v>0</v>
      </c>
      <c r="M17" s="68">
        <f>SUM(M3:M16)</f>
        <v>0</v>
      </c>
      <c r="N17" s="103">
        <f>SUM(N3:N16)</f>
        <v>0</v>
      </c>
      <c r="O17" s="111" t="e">
        <f>SUM(O3:O16)</f>
        <v>#VALUE!</v>
      </c>
      <c r="P17" s="111" t="e">
        <f>SUM(P3:P16)</f>
        <v>#VALUE!</v>
      </c>
    </row>
    <row r="18" spans="1:16" x14ac:dyDescent="0.25">
      <c r="A18" s="101" t="s">
        <v>150</v>
      </c>
      <c r="B18" s="100" t="e">
        <f>B17/'B. Trial dimensions'!$B$19</f>
        <v>#DIV/0!</v>
      </c>
      <c r="C18" s="100" t="e">
        <f>C17/'B. Trial dimensions'!$B$19</f>
        <v>#DIV/0!</v>
      </c>
      <c r="D18" s="100" t="e">
        <f>D17/'B. Trial dimensions'!$B$19</f>
        <v>#DIV/0!</v>
      </c>
      <c r="E18" s="100" t="e">
        <f>E17/'B. Trial dimensions'!$B$19</f>
        <v>#DIV/0!</v>
      </c>
      <c r="F18" s="100" t="e">
        <f>F17/'B. Trial dimensions'!$B$19</f>
        <v>#DIV/0!</v>
      </c>
      <c r="G18" s="100" t="e">
        <f>G17/'B. Trial dimensions'!$B$19</f>
        <v>#DIV/0!</v>
      </c>
      <c r="H18" s="100" t="e">
        <f>H17/'B. Trial dimensions'!$B$19</f>
        <v>#DIV/0!</v>
      </c>
      <c r="I18" s="100" t="e">
        <f>I17/'B. Trial dimensions'!$B$19</f>
        <v>#DIV/0!</v>
      </c>
      <c r="J18" s="100" t="e">
        <f>J17/'B. Trial dimensions'!$B$19</f>
        <v>#DIV/0!</v>
      </c>
      <c r="K18" s="100" t="e">
        <f>K17/'B. Trial dimensions'!$B$19</f>
        <v>#DIV/0!</v>
      </c>
      <c r="L18" s="106" t="e">
        <f>L17/'B. Trial dimensions'!$B$19</f>
        <v>#DIV/0!</v>
      </c>
      <c r="M18" s="103" t="e">
        <f>M17/'B. Trial dimensions'!$B$19</f>
        <v>#DIV/0!</v>
      </c>
      <c r="N18" s="106" t="e">
        <f>N17/'B. Trial dimensions'!$B$19</f>
        <v>#DIV/0!</v>
      </c>
      <c r="O18" s="111" t="e">
        <f>O17/'B. Trial dimensions'!$B$19</f>
        <v>#VALUE!</v>
      </c>
      <c r="P18" s="111" t="e">
        <f>P17/'B. Trial dimensions'!$B$19</f>
        <v>#VALUE!</v>
      </c>
    </row>
    <row r="19" spans="1:16" x14ac:dyDescent="0.25">
      <c r="A19" s="80"/>
      <c r="B19" s="42"/>
      <c r="C19" s="42"/>
      <c r="D19" s="42"/>
      <c r="E19" s="42"/>
      <c r="F19" s="42"/>
      <c r="G19" s="42"/>
      <c r="H19" s="42"/>
      <c r="I19" s="42"/>
      <c r="J19" s="42"/>
      <c r="K19" s="42"/>
      <c r="L19" s="42"/>
      <c r="M19" s="42"/>
      <c r="N19" s="42"/>
      <c r="O19" s="74"/>
      <c r="P19" s="74"/>
    </row>
    <row r="20" spans="1:16" x14ac:dyDescent="0.25">
      <c r="A20" s="80" t="s">
        <v>151</v>
      </c>
      <c r="B20" s="42"/>
      <c r="C20" s="42"/>
      <c r="D20" s="42"/>
      <c r="E20" s="42"/>
      <c r="F20" s="42"/>
      <c r="G20" s="42"/>
      <c r="H20" s="42"/>
      <c r="I20" s="42"/>
      <c r="J20" s="42"/>
      <c r="K20" s="42"/>
      <c r="L20" s="42"/>
      <c r="M20" s="42"/>
      <c r="N20" s="42"/>
      <c r="O20" s="74"/>
      <c r="P20" s="74"/>
    </row>
    <row r="21" spans="1:16" ht="15.75" x14ac:dyDescent="0.25">
      <c r="A21" s="73"/>
      <c r="B21" s="42"/>
      <c r="C21" s="42"/>
      <c r="D21" s="42"/>
      <c r="E21" s="42"/>
      <c r="F21" s="42"/>
      <c r="G21" s="42"/>
      <c r="H21" s="42"/>
      <c r="I21" s="42"/>
      <c r="J21" s="169"/>
      <c r="K21" s="42"/>
      <c r="L21" s="42"/>
      <c r="M21" s="42"/>
      <c r="N21" s="42"/>
      <c r="O21" s="74"/>
      <c r="P21" s="74"/>
    </row>
    <row r="30" spans="1:16" x14ac:dyDescent="0.25">
      <c r="G30" s="49"/>
      <c r="H30" s="49"/>
    </row>
  </sheetData>
  <sheetProtection sheet="1"/>
  <conditionalFormatting sqref="G3:G16">
    <cfRule type="containsText" dxfId="0" priority="1" operator="containsText" text="Number is too high">
      <formula>NOT(ISERROR(SEARCH("Number is too high",G3)))</formula>
    </cfRule>
  </conditionalFormatting>
  <pageMargins left="0.7" right="0.7" top="0.75" bottom="0.75" header="0.3" footer="0.3"/>
  <pageSetup orientation="portrait" r:id="rId1"/>
  <ignoredErrors>
    <ignoredError sqref="A3:A8 I17:M18 N17:O17 N18 M3:O16 B17:G18" unlocked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741AB-6EDB-4B3B-87DA-B352070E47C4}">
  <sheetPr>
    <tabColor rgb="FF00B0F0"/>
  </sheetPr>
  <dimension ref="A1:G26"/>
  <sheetViews>
    <sheetView topLeftCell="C11" workbookViewId="0">
      <selection activeCell="B13" sqref="B13:B21"/>
    </sheetView>
  </sheetViews>
  <sheetFormatPr defaultColWidth="9.140625" defaultRowHeight="15" x14ac:dyDescent="0.25"/>
  <cols>
    <col min="1" max="1" width="34.42578125" style="105" bestFit="1" customWidth="1"/>
    <col min="2" max="2" width="13.7109375" style="105" customWidth="1"/>
    <col min="3" max="3" width="11.85546875" style="95" customWidth="1"/>
    <col min="4" max="4" width="15.140625" style="95" customWidth="1"/>
    <col min="5" max="6" width="16.28515625" style="95" customWidth="1"/>
    <col min="7" max="7" width="69.42578125" style="95" customWidth="1"/>
    <col min="8" max="16384" width="9.140625" style="95"/>
  </cols>
  <sheetData>
    <row r="1" spans="1:7" ht="24" hidden="1" customHeight="1" x14ac:dyDescent="0.25"/>
    <row r="2" spans="1:7" hidden="1" x14ac:dyDescent="0.25">
      <c r="A2" s="112" t="s">
        <v>164</v>
      </c>
      <c r="B2" s="113"/>
      <c r="C2" s="113" t="s">
        <v>148</v>
      </c>
      <c r="D2" s="113"/>
      <c r="E2" s="113"/>
      <c r="F2" s="113"/>
      <c r="G2" s="113" t="s">
        <v>42</v>
      </c>
    </row>
    <row r="3" spans="1:7" hidden="1" x14ac:dyDescent="0.25">
      <c r="A3" s="114" t="s">
        <v>129</v>
      </c>
      <c r="B3" s="115"/>
      <c r="C3" s="116" t="e">
        <f>#REF!/8</f>
        <v>#REF!</v>
      </c>
      <c r="D3" s="117"/>
      <c r="E3" s="117"/>
      <c r="F3" s="117"/>
      <c r="G3" s="118" t="s">
        <v>165</v>
      </c>
    </row>
    <row r="4" spans="1:7" hidden="1" x14ac:dyDescent="0.25">
      <c r="A4" s="114" t="s">
        <v>130</v>
      </c>
      <c r="B4" s="115"/>
      <c r="C4" s="116" t="e">
        <f>#REF!/8</f>
        <v>#REF!</v>
      </c>
      <c r="D4" s="117"/>
      <c r="E4" s="117"/>
      <c r="F4" s="117"/>
      <c r="G4" s="118"/>
    </row>
    <row r="5" spans="1:7" hidden="1" x14ac:dyDescent="0.25">
      <c r="A5" s="114" t="s">
        <v>131</v>
      </c>
      <c r="B5" s="115"/>
      <c r="C5" s="116" t="e">
        <f>#REF!/8</f>
        <v>#REF!</v>
      </c>
      <c r="D5" s="117"/>
      <c r="E5" s="117"/>
      <c r="F5" s="117"/>
      <c r="G5" s="118"/>
    </row>
    <row r="6" spans="1:7" hidden="1" x14ac:dyDescent="0.25">
      <c r="A6" s="114" t="s">
        <v>132</v>
      </c>
      <c r="B6" s="115"/>
      <c r="C6" s="116" t="e">
        <f>#REF!/8</f>
        <v>#REF!</v>
      </c>
      <c r="D6" s="117"/>
      <c r="E6" s="117"/>
      <c r="F6" s="117"/>
      <c r="G6" s="118"/>
    </row>
    <row r="7" spans="1:7" hidden="1" x14ac:dyDescent="0.25">
      <c r="A7" s="114" t="s">
        <v>133</v>
      </c>
      <c r="B7" s="115"/>
      <c r="C7" s="116" t="e">
        <f>#REF!/8</f>
        <v>#REF!</v>
      </c>
      <c r="D7" s="117"/>
      <c r="E7" s="117"/>
      <c r="F7" s="117"/>
      <c r="G7" s="118"/>
    </row>
    <row r="8" spans="1:7" hidden="1" x14ac:dyDescent="0.25">
      <c r="A8" s="114" t="s">
        <v>134</v>
      </c>
      <c r="B8" s="115"/>
      <c r="C8" s="116" t="e">
        <f>#REF!/8</f>
        <v>#REF!</v>
      </c>
      <c r="D8" s="117"/>
      <c r="E8" s="117"/>
      <c r="F8" s="117"/>
      <c r="G8" s="118"/>
    </row>
    <row r="9" spans="1:7" hidden="1" x14ac:dyDescent="0.25">
      <c r="A9" s="114" t="s">
        <v>135</v>
      </c>
      <c r="B9" s="115"/>
      <c r="C9" s="116" t="e">
        <f>#REF!/8</f>
        <v>#REF!</v>
      </c>
      <c r="D9" s="117"/>
      <c r="E9" s="117"/>
      <c r="F9" s="117"/>
      <c r="G9" s="118"/>
    </row>
    <row r="10" spans="1:7" hidden="1" x14ac:dyDescent="0.25">
      <c r="A10" s="119" t="s">
        <v>166</v>
      </c>
      <c r="B10" s="120"/>
      <c r="C10" s="121" t="e">
        <f t="shared" ref="C10" si="0">SUM(C3:C9)</f>
        <v>#REF!</v>
      </c>
      <c r="D10" s="122"/>
      <c r="E10" s="122"/>
      <c r="F10" s="122"/>
    </row>
    <row r="11" spans="1:7" ht="24" customHeight="1" x14ac:dyDescent="0.25">
      <c r="A11" s="176"/>
      <c r="B11" s="178"/>
      <c r="C11" s="178"/>
      <c r="D11" s="140"/>
      <c r="E11" s="178"/>
      <c r="F11" s="178"/>
      <c r="G11" s="178"/>
    </row>
    <row r="12" spans="1:7" ht="30" x14ac:dyDescent="0.25">
      <c r="A12" s="59" t="s">
        <v>167</v>
      </c>
      <c r="B12" s="82" t="s">
        <v>168</v>
      </c>
      <c r="C12" s="82" t="s">
        <v>169</v>
      </c>
      <c r="D12" s="82" t="s">
        <v>170</v>
      </c>
      <c r="E12" s="82" t="s">
        <v>171</v>
      </c>
      <c r="F12" s="82" t="s">
        <v>172</v>
      </c>
      <c r="G12" s="82" t="s">
        <v>42</v>
      </c>
    </row>
    <row r="13" spans="1:7" x14ac:dyDescent="0.25">
      <c r="A13" s="171" t="s">
        <v>173</v>
      </c>
      <c r="B13" s="123"/>
      <c r="C13" s="100">
        <f>B13*'E. Unit prices'!$D$25</f>
        <v>0</v>
      </c>
      <c r="D13" s="124" t="e">
        <f>'J. Per diem allowance'!$B$18</f>
        <v>#DIV/0!</v>
      </c>
      <c r="E13" s="125" t="e">
        <f>'B. Trial dimensions'!$B$20*D13</f>
        <v>#DIV/0!</v>
      </c>
      <c r="F13" s="125" t="e">
        <f t="shared" ref="F13:F21" si="1">C13+E13</f>
        <v>#DIV/0!</v>
      </c>
      <c r="G13" s="74"/>
    </row>
    <row r="14" spans="1:7" x14ac:dyDescent="0.25">
      <c r="A14" s="171" t="s">
        <v>174</v>
      </c>
      <c r="B14" s="123"/>
      <c r="C14" s="100">
        <f>B14*'E. Unit prices'!$D$25</f>
        <v>0</v>
      </c>
      <c r="D14" s="124" t="e">
        <f>'J. Per diem allowance'!$C$18</f>
        <v>#DIV/0!</v>
      </c>
      <c r="E14" s="125" t="e">
        <f>'B. Trial dimensions'!$B$20*D14</f>
        <v>#DIV/0!</v>
      </c>
      <c r="F14" s="125" t="e">
        <f t="shared" si="1"/>
        <v>#DIV/0!</v>
      </c>
      <c r="G14" s="74"/>
    </row>
    <row r="15" spans="1:7" x14ac:dyDescent="0.25">
      <c r="A15" s="171" t="s">
        <v>175</v>
      </c>
      <c r="B15" s="123"/>
      <c r="C15" s="100">
        <f>B15*'E. Unit prices'!$D$25</f>
        <v>0</v>
      </c>
      <c r="D15" s="124" t="e">
        <f>'J. Per diem allowance'!$D$18</f>
        <v>#DIV/0!</v>
      </c>
      <c r="E15" s="125" t="e">
        <f>'B. Trial dimensions'!$B$20*D15</f>
        <v>#DIV/0!</v>
      </c>
      <c r="F15" s="125" t="e">
        <f t="shared" si="1"/>
        <v>#DIV/0!</v>
      </c>
      <c r="G15" s="74"/>
    </row>
    <row r="16" spans="1:7" x14ac:dyDescent="0.25">
      <c r="A16" s="171" t="s">
        <v>176</v>
      </c>
      <c r="B16" s="123"/>
      <c r="C16" s="100">
        <f>B16*'E. Unit prices'!$D$25</f>
        <v>0</v>
      </c>
      <c r="D16" s="124" t="e">
        <f>'J. Per diem allowance'!$G$18</f>
        <v>#DIV/0!</v>
      </c>
      <c r="E16" s="125" t="e">
        <f>'B. Trial dimensions'!$B$20*D16</f>
        <v>#DIV/0!</v>
      </c>
      <c r="F16" s="125" t="e">
        <f t="shared" si="1"/>
        <v>#DIV/0!</v>
      </c>
      <c r="G16" s="74"/>
    </row>
    <row r="17" spans="1:7" x14ac:dyDescent="0.25">
      <c r="A17" s="171" t="s">
        <v>177</v>
      </c>
      <c r="B17" s="123"/>
      <c r="C17" s="100">
        <f>B17*'E. Unit prices'!$D$25</f>
        <v>0</v>
      </c>
      <c r="D17" s="124" t="e">
        <f>'J. Per diem allowance'!$G$18</f>
        <v>#DIV/0!</v>
      </c>
      <c r="E17" s="125" t="e">
        <f>'B. Trial dimensions'!$B$20*D17</f>
        <v>#DIV/0!</v>
      </c>
      <c r="F17" s="125" t="e">
        <f t="shared" si="1"/>
        <v>#DIV/0!</v>
      </c>
      <c r="G17" s="74"/>
    </row>
    <row r="18" spans="1:7" x14ac:dyDescent="0.25">
      <c r="A18" s="171" t="s">
        <v>178</v>
      </c>
      <c r="B18" s="123"/>
      <c r="C18" s="100">
        <f>B18*'E. Unit prices'!$D$25</f>
        <v>0</v>
      </c>
      <c r="D18" s="124" t="e">
        <f>'J. Per diem allowance'!$G$18</f>
        <v>#DIV/0!</v>
      </c>
      <c r="E18" s="125" t="e">
        <f>'B. Trial dimensions'!$B$20*D18</f>
        <v>#DIV/0!</v>
      </c>
      <c r="F18" s="125" t="e">
        <f t="shared" si="1"/>
        <v>#DIV/0!</v>
      </c>
      <c r="G18" s="74"/>
    </row>
    <row r="19" spans="1:7" x14ac:dyDescent="0.25">
      <c r="A19" s="171" t="s">
        <v>144</v>
      </c>
      <c r="B19" s="123"/>
      <c r="C19" s="100">
        <f>B19*'E. Unit prices'!$D$25</f>
        <v>0</v>
      </c>
      <c r="D19" s="124" t="e">
        <f>'J. Per diem allowance'!$I$18</f>
        <v>#DIV/0!</v>
      </c>
      <c r="E19" s="125" t="e">
        <f>'B. Trial dimensions'!$B$20*D19</f>
        <v>#DIV/0!</v>
      </c>
      <c r="F19" s="125" t="e">
        <f t="shared" si="1"/>
        <v>#DIV/0!</v>
      </c>
      <c r="G19" s="74"/>
    </row>
    <row r="20" spans="1:7" x14ac:dyDescent="0.25">
      <c r="A20" s="171" t="s">
        <v>179</v>
      </c>
      <c r="B20" s="123"/>
      <c r="C20" s="100">
        <f>B20*'E. Unit prices'!$D$25</f>
        <v>0</v>
      </c>
      <c r="D20" s="124" t="e">
        <f>'J. Per diem allowance'!$J$18</f>
        <v>#DIV/0!</v>
      </c>
      <c r="E20" s="125" t="e">
        <f>'B. Trial dimensions'!$B$20*D20</f>
        <v>#DIV/0!</v>
      </c>
      <c r="F20" s="125" t="e">
        <f t="shared" si="1"/>
        <v>#DIV/0!</v>
      </c>
      <c r="G20" s="74"/>
    </row>
    <row r="21" spans="1:7" x14ac:dyDescent="0.25">
      <c r="A21" s="171" t="s">
        <v>180</v>
      </c>
      <c r="B21" s="123"/>
      <c r="C21" s="100">
        <f>B21*'E. Unit prices'!$D$25</f>
        <v>0</v>
      </c>
      <c r="D21" s="124" t="e">
        <f>'J. Per diem allowance'!$K$18</f>
        <v>#DIV/0!</v>
      </c>
      <c r="E21" s="125" t="e">
        <f>'B. Trial dimensions'!$B$20*D21</f>
        <v>#DIV/0!</v>
      </c>
      <c r="F21" s="125" t="e">
        <f t="shared" si="1"/>
        <v>#DIV/0!</v>
      </c>
      <c r="G21" s="74"/>
    </row>
    <row r="22" spans="1:7" x14ac:dyDescent="0.25">
      <c r="A22" s="171"/>
      <c r="B22" s="123"/>
      <c r="C22" s="100"/>
      <c r="D22" s="124"/>
      <c r="E22" s="125"/>
      <c r="F22" s="125"/>
      <c r="G22" s="74"/>
    </row>
    <row r="23" spans="1:7" x14ac:dyDescent="0.25">
      <c r="A23" s="171"/>
      <c r="B23" s="123"/>
      <c r="C23" s="100"/>
      <c r="D23" s="124"/>
      <c r="E23" s="125"/>
      <c r="F23" s="125"/>
      <c r="G23" s="74"/>
    </row>
    <row r="24" spans="1:7" x14ac:dyDescent="0.25">
      <c r="A24" s="101" t="s">
        <v>166</v>
      </c>
      <c r="B24" s="183">
        <f>SUM(B13:B21)</f>
        <v>0</v>
      </c>
      <c r="C24" s="183">
        <f>SUM(C13:C21)</f>
        <v>0</v>
      </c>
      <c r="D24" s="183" t="e">
        <f>SUM(D13:D21)</f>
        <v>#DIV/0!</v>
      </c>
      <c r="E24" s="184" t="e">
        <f>SUM(E13:E21)</f>
        <v>#DIV/0!</v>
      </c>
      <c r="F24" s="185" t="e">
        <f>SUM(F13:F21)</f>
        <v>#DIV/0!</v>
      </c>
      <c r="G24" s="101"/>
    </row>
    <row r="25" spans="1:7" x14ac:dyDescent="0.25">
      <c r="A25" s="42"/>
      <c r="B25" s="42"/>
      <c r="C25" s="74"/>
      <c r="D25" s="74"/>
      <c r="E25" s="74"/>
      <c r="F25" s="74"/>
      <c r="G25" s="74"/>
    </row>
    <row r="26" spans="1:7" x14ac:dyDescent="0.25">
      <c r="A26" s="42"/>
      <c r="B26" s="42"/>
      <c r="C26" s="74"/>
      <c r="D26" s="74"/>
      <c r="E26" s="74"/>
      <c r="F26" s="74"/>
      <c r="G26" s="74"/>
    </row>
  </sheetData>
  <sheetProtection sheet="1"/>
  <pageMargins left="0.7" right="0.7" top="0.75" bottom="0.75" header="0.3" footer="0.3"/>
  <pageSetup orientation="portrait" r:id="rId1"/>
  <ignoredErrors>
    <ignoredError sqref="B24:F24 C13:F21" unlocked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653E6-C9C6-43F7-B3BA-4909D26B1BCB}">
  <sheetPr>
    <tabColor rgb="FF00B0F0"/>
  </sheetPr>
  <dimension ref="A1:H57"/>
  <sheetViews>
    <sheetView workbookViewId="0">
      <selection activeCell="C16" sqref="C16"/>
    </sheetView>
  </sheetViews>
  <sheetFormatPr defaultColWidth="9.140625" defaultRowHeight="15" x14ac:dyDescent="0.25"/>
  <cols>
    <col min="1" max="1" width="41.85546875" style="62" customWidth="1"/>
    <col min="2" max="2" width="12.7109375" style="62" customWidth="1"/>
    <col min="3" max="4" width="17.140625" style="62" customWidth="1"/>
    <col min="5" max="5" width="31.28515625" style="57" customWidth="1"/>
    <col min="6" max="16384" width="9.140625" style="57"/>
  </cols>
  <sheetData>
    <row r="1" spans="1:5" ht="24" customHeight="1" x14ac:dyDescent="0.25">
      <c r="A1" s="82"/>
      <c r="B1" s="176" t="s">
        <v>181</v>
      </c>
      <c r="C1" s="176"/>
      <c r="D1" s="176"/>
      <c r="E1" s="82"/>
    </row>
    <row r="2" spans="1:5" ht="30" x14ac:dyDescent="0.25">
      <c r="A2" s="58" t="s">
        <v>123</v>
      </c>
      <c r="B2" s="82" t="s">
        <v>182</v>
      </c>
      <c r="C2" s="82" t="s">
        <v>183</v>
      </c>
      <c r="D2" s="82" t="s">
        <v>184</v>
      </c>
      <c r="E2" s="82" t="s">
        <v>42</v>
      </c>
    </row>
    <row r="3" spans="1:5" x14ac:dyDescent="0.25">
      <c r="A3" s="143" t="str" cm="1">
        <f t="array" ref="A3:A16">_xlfn._xlws.FILTER('G. Wages'!A2:A15, 'G. Wages'!A2:A15&lt;&gt;"")</f>
        <v>[Add if needed]</v>
      </c>
      <c r="B3" s="97"/>
      <c r="C3" s="97"/>
      <c r="D3" s="109">
        <f>B3*C3*'E. Unit prices'!$D$24</f>
        <v>0</v>
      </c>
      <c r="E3" s="74"/>
    </row>
    <row r="4" spans="1:5" x14ac:dyDescent="0.25">
      <c r="A4" s="143" t="str">
        <v>[Add if needed]</v>
      </c>
      <c r="B4" s="97"/>
      <c r="C4" s="97"/>
      <c r="D4" s="109">
        <f>B4*C4*'E. Unit prices'!$D$24</f>
        <v>0</v>
      </c>
      <c r="E4" s="74"/>
    </row>
    <row r="5" spans="1:5" x14ac:dyDescent="0.25">
      <c r="A5" s="143" t="str">
        <v>[Add if needed]</v>
      </c>
      <c r="B5" s="97"/>
      <c r="C5" s="97"/>
      <c r="D5" s="109">
        <f>B5*C5*'E. Unit prices'!$D$24</f>
        <v>0</v>
      </c>
      <c r="E5" s="74"/>
    </row>
    <row r="6" spans="1:5" x14ac:dyDescent="0.25">
      <c r="A6" s="143" t="str">
        <v>[Add if needed]</v>
      </c>
      <c r="B6" s="97"/>
      <c r="C6" s="97"/>
      <c r="D6" s="109">
        <f>B6*C6*'E. Unit prices'!$D$24</f>
        <v>0</v>
      </c>
      <c r="E6" s="74"/>
    </row>
    <row r="7" spans="1:5" x14ac:dyDescent="0.25">
      <c r="A7" s="143" t="str">
        <v>[Add if needed]</v>
      </c>
      <c r="B7" s="97"/>
      <c r="C7" s="97"/>
      <c r="D7" s="109">
        <f>B7*C7*'E. Unit prices'!$D$24</f>
        <v>0</v>
      </c>
      <c r="E7" s="74"/>
    </row>
    <row r="8" spans="1:5" x14ac:dyDescent="0.25">
      <c r="A8" s="143" t="str">
        <v>[Add if needed]</v>
      </c>
      <c r="B8" s="97"/>
      <c r="C8" s="97"/>
      <c r="D8" s="109">
        <f>B8*C8*'E. Unit prices'!$D$24</f>
        <v>0</v>
      </c>
      <c r="E8" s="74"/>
    </row>
    <row r="9" spans="1:5" x14ac:dyDescent="0.25">
      <c r="A9" s="143" t="str">
        <v>[Add if needed]</v>
      </c>
      <c r="B9" s="97"/>
      <c r="C9" s="97"/>
      <c r="D9" s="109">
        <f>B9*C9*'E. Unit prices'!$D$24</f>
        <v>0</v>
      </c>
      <c r="E9" s="74"/>
    </row>
    <row r="10" spans="1:5" x14ac:dyDescent="0.25">
      <c r="A10" s="143" t="str">
        <v>[Add if needed]</v>
      </c>
      <c r="B10" s="97"/>
      <c r="C10" s="97"/>
      <c r="D10" s="109">
        <f>B10*C10*'E. Unit prices'!$D$24</f>
        <v>0</v>
      </c>
      <c r="E10" s="74"/>
    </row>
    <row r="11" spans="1:5" x14ac:dyDescent="0.25">
      <c r="A11" s="143" t="str">
        <v>[Add if needed]</v>
      </c>
      <c r="B11" s="97"/>
      <c r="C11" s="97"/>
      <c r="D11" s="109">
        <f>B11*C11*'E. Unit prices'!$D$24</f>
        <v>0</v>
      </c>
      <c r="E11" s="74"/>
    </row>
    <row r="12" spans="1:5" x14ac:dyDescent="0.25">
      <c r="A12" s="143" t="str">
        <v>[Add if needed]</v>
      </c>
      <c r="B12" s="97"/>
      <c r="C12" s="97"/>
      <c r="D12" s="109">
        <f>B12*C12*'E. Unit prices'!$D$24</f>
        <v>0</v>
      </c>
      <c r="E12" s="74"/>
    </row>
    <row r="13" spans="1:5" x14ac:dyDescent="0.25">
      <c r="A13" s="143" t="str">
        <v>[Add if needed]</v>
      </c>
      <c r="B13" s="97"/>
      <c r="C13" s="97"/>
      <c r="D13" s="109">
        <f>B13*C13*'E. Unit prices'!$D$24</f>
        <v>0</v>
      </c>
      <c r="E13" s="74"/>
    </row>
    <row r="14" spans="1:5" x14ac:dyDescent="0.25">
      <c r="A14" s="143" t="str">
        <v>[Add if needed]</v>
      </c>
      <c r="B14" s="97"/>
      <c r="C14" s="97"/>
      <c r="D14" s="109">
        <f>B14*C14*'E. Unit prices'!$D$24</f>
        <v>0</v>
      </c>
      <c r="E14" s="74"/>
    </row>
    <row r="15" spans="1:5" x14ac:dyDescent="0.25">
      <c r="A15" s="143" t="str">
        <v>[Add if needed]</v>
      </c>
      <c r="B15" s="144"/>
      <c r="C15" s="144"/>
      <c r="D15" s="109">
        <f>B15*C15*'E. Unit prices'!$D$24</f>
        <v>0</v>
      </c>
      <c r="E15" s="74"/>
    </row>
    <row r="16" spans="1:5" x14ac:dyDescent="0.25">
      <c r="A16" s="143" t="str">
        <v>[Add if needed]</v>
      </c>
      <c r="B16" s="144"/>
      <c r="C16" s="144"/>
      <c r="D16" s="109">
        <f>B16*C16*'E. Unit prices'!$D$24</f>
        <v>0</v>
      </c>
      <c r="E16" s="74"/>
    </row>
    <row r="17" spans="1:8" x14ac:dyDescent="0.25">
      <c r="A17" s="101" t="s">
        <v>166</v>
      </c>
      <c r="B17" s="82">
        <f>SUM(B3:B14)</f>
        <v>0</v>
      </c>
      <c r="C17" s="82">
        <f t="shared" ref="C17" si="0">SUM(C3:C14)</f>
        <v>0</v>
      </c>
      <c r="D17" s="82">
        <f>SUM(D3:D14)</f>
        <v>0</v>
      </c>
      <c r="E17" s="82"/>
    </row>
    <row r="18" spans="1:8" x14ac:dyDescent="0.25">
      <c r="A18" s="71"/>
      <c r="B18" s="71"/>
      <c r="C18" s="60"/>
      <c r="D18" s="60"/>
      <c r="E18"/>
    </row>
    <row r="19" spans="1:8" s="62" customFormat="1" ht="35.25" customHeight="1" x14ac:dyDescent="0.25">
      <c r="A19" s="236" t="s">
        <v>185</v>
      </c>
      <c r="B19" s="236"/>
      <c r="C19" s="236"/>
      <c r="D19" s="236"/>
      <c r="E19" s="236"/>
    </row>
    <row r="20" spans="1:8" s="62" customFormat="1" ht="35.25" customHeight="1" x14ac:dyDescent="0.25">
      <c r="A20" s="235" t="s">
        <v>186</v>
      </c>
      <c r="B20" s="235"/>
      <c r="C20" s="235"/>
      <c r="D20" s="235"/>
      <c r="E20" s="235"/>
      <c r="F20" s="145"/>
      <c r="G20" s="145"/>
      <c r="H20" s="145"/>
    </row>
    <row r="21" spans="1:8" x14ac:dyDescent="0.25">
      <c r="A21" s="69" t="s">
        <v>187</v>
      </c>
      <c r="B21" s="60"/>
      <c r="C21" s="60"/>
      <c r="D21" s="60"/>
      <c r="E21"/>
    </row>
    <row r="22" spans="1:8" x14ac:dyDescent="0.25">
      <c r="A22" s="69" t="s">
        <v>188</v>
      </c>
      <c r="B22" s="60"/>
      <c r="C22" s="60"/>
      <c r="D22" s="60"/>
      <c r="E22"/>
    </row>
    <row r="23" spans="1:8" x14ac:dyDescent="0.25">
      <c r="A23" s="60"/>
      <c r="B23" s="60"/>
      <c r="C23" s="60"/>
      <c r="D23" s="60"/>
      <c r="E23"/>
    </row>
    <row r="24" spans="1:8" x14ac:dyDescent="0.25">
      <c r="A24" s="60"/>
      <c r="B24" s="60"/>
      <c r="C24" s="60"/>
      <c r="D24" s="60"/>
      <c r="E24"/>
    </row>
    <row r="25" spans="1:8" x14ac:dyDescent="0.25">
      <c r="A25" s="60"/>
      <c r="B25" s="60"/>
      <c r="C25" s="60"/>
      <c r="D25" s="60"/>
      <c r="E25"/>
    </row>
    <row r="26" spans="1:8" x14ac:dyDescent="0.25">
      <c r="A26" s="60"/>
      <c r="B26" s="60"/>
      <c r="C26" s="60"/>
      <c r="D26" s="60"/>
      <c r="E26"/>
    </row>
    <row r="27" spans="1:8" x14ac:dyDescent="0.25">
      <c r="A27" s="60"/>
      <c r="B27" s="60"/>
      <c r="C27" s="60"/>
      <c r="D27" s="60"/>
      <c r="E27"/>
    </row>
    <row r="28" spans="1:8" x14ac:dyDescent="0.25">
      <c r="A28" s="60"/>
      <c r="B28" s="60"/>
      <c r="C28" s="60"/>
      <c r="D28" s="60"/>
      <c r="E28"/>
    </row>
    <row r="29" spans="1:8" x14ac:dyDescent="0.25">
      <c r="A29" s="60"/>
      <c r="B29" s="60"/>
      <c r="C29" s="60"/>
      <c r="D29" s="60"/>
      <c r="E29"/>
    </row>
    <row r="30" spans="1:8" x14ac:dyDescent="0.25">
      <c r="A30" s="60"/>
      <c r="B30" s="60"/>
      <c r="C30" s="60"/>
      <c r="D30" s="60"/>
      <c r="E30"/>
    </row>
    <row r="31" spans="1:8" x14ac:dyDescent="0.25">
      <c r="A31" s="60"/>
      <c r="B31" s="60"/>
      <c r="C31" s="60"/>
      <c r="D31" s="60"/>
      <c r="E31"/>
    </row>
    <row r="32" spans="1:8" x14ac:dyDescent="0.25">
      <c r="A32" s="60"/>
      <c r="B32" s="60"/>
      <c r="C32" s="60"/>
      <c r="D32" s="60"/>
      <c r="E32"/>
    </row>
    <row r="33" spans="1:5" x14ac:dyDescent="0.25">
      <c r="A33" s="60"/>
      <c r="B33" s="60"/>
      <c r="C33" s="60"/>
      <c r="D33" s="60"/>
      <c r="E33"/>
    </row>
    <row r="34" spans="1:5" x14ac:dyDescent="0.25">
      <c r="A34" s="60"/>
      <c r="B34" s="60"/>
      <c r="C34" s="60"/>
      <c r="D34" s="60"/>
      <c r="E34"/>
    </row>
    <row r="35" spans="1:5" x14ac:dyDescent="0.25">
      <c r="A35" s="60"/>
      <c r="B35" s="60"/>
      <c r="C35" s="60"/>
      <c r="D35" s="60"/>
      <c r="E35"/>
    </row>
    <row r="36" spans="1:5" x14ac:dyDescent="0.25">
      <c r="A36" s="60"/>
      <c r="B36" s="60"/>
      <c r="C36" s="60"/>
      <c r="D36" s="60"/>
      <c r="E36"/>
    </row>
    <row r="37" spans="1:5" x14ac:dyDescent="0.25">
      <c r="A37" s="60"/>
      <c r="B37" s="60"/>
      <c r="C37" s="60"/>
      <c r="D37" s="60"/>
      <c r="E37"/>
    </row>
    <row r="38" spans="1:5" x14ac:dyDescent="0.25">
      <c r="A38" s="60"/>
      <c r="B38" s="60"/>
      <c r="C38" s="60"/>
      <c r="D38" s="60"/>
      <c r="E38"/>
    </row>
    <row r="39" spans="1:5" x14ac:dyDescent="0.25">
      <c r="A39" s="60"/>
      <c r="B39" s="60"/>
      <c r="C39" s="60"/>
      <c r="D39" s="60"/>
      <c r="E39"/>
    </row>
    <row r="40" spans="1:5" x14ac:dyDescent="0.25">
      <c r="A40" s="60"/>
      <c r="B40" s="60"/>
      <c r="C40" s="60"/>
      <c r="D40" s="60"/>
      <c r="E40"/>
    </row>
    <row r="41" spans="1:5" x14ac:dyDescent="0.25">
      <c r="A41" s="60"/>
      <c r="B41" s="60"/>
      <c r="C41" s="60"/>
      <c r="D41" s="60"/>
      <c r="E41"/>
    </row>
    <row r="42" spans="1:5" x14ac:dyDescent="0.25">
      <c r="A42" s="60"/>
      <c r="B42" s="60"/>
      <c r="C42" s="60"/>
      <c r="D42" s="60"/>
      <c r="E42"/>
    </row>
    <row r="43" spans="1:5" x14ac:dyDescent="0.25">
      <c r="A43" s="60"/>
      <c r="B43" s="60"/>
      <c r="C43" s="60"/>
      <c r="D43" s="60"/>
      <c r="E43"/>
    </row>
    <row r="44" spans="1:5" x14ac:dyDescent="0.25">
      <c r="A44" s="60"/>
      <c r="B44" s="60"/>
      <c r="C44" s="60"/>
      <c r="D44" s="60"/>
      <c r="E44"/>
    </row>
    <row r="45" spans="1:5" x14ac:dyDescent="0.25">
      <c r="A45" s="60"/>
      <c r="B45" s="60"/>
      <c r="C45" s="60"/>
      <c r="D45" s="60"/>
      <c r="E45"/>
    </row>
    <row r="46" spans="1:5" x14ac:dyDescent="0.25">
      <c r="A46" s="60"/>
      <c r="B46" s="60"/>
      <c r="C46" s="60"/>
      <c r="D46" s="60"/>
      <c r="E46"/>
    </row>
    <row r="47" spans="1:5" x14ac:dyDescent="0.25">
      <c r="A47" s="60"/>
      <c r="B47" s="60"/>
      <c r="C47" s="60"/>
      <c r="D47" s="60"/>
      <c r="E47"/>
    </row>
    <row r="48" spans="1:5" x14ac:dyDescent="0.25">
      <c r="A48" s="60"/>
      <c r="B48" s="60"/>
      <c r="C48" s="60"/>
      <c r="D48" s="60"/>
      <c r="E48"/>
    </row>
    <row r="49" spans="1:5" x14ac:dyDescent="0.25">
      <c r="A49" s="60"/>
      <c r="B49" s="60"/>
      <c r="C49" s="60"/>
      <c r="D49" s="60"/>
      <c r="E49"/>
    </row>
    <row r="50" spans="1:5" x14ac:dyDescent="0.25">
      <c r="A50" s="60"/>
      <c r="B50" s="60"/>
      <c r="C50" s="60"/>
      <c r="D50" s="60"/>
      <c r="E50"/>
    </row>
    <row r="51" spans="1:5" x14ac:dyDescent="0.25">
      <c r="A51" s="60"/>
      <c r="B51" s="60"/>
      <c r="C51" s="60"/>
      <c r="D51" s="60"/>
      <c r="E51"/>
    </row>
    <row r="52" spans="1:5" x14ac:dyDescent="0.25">
      <c r="A52" s="60"/>
      <c r="B52" s="60"/>
      <c r="C52" s="60"/>
      <c r="D52" s="60"/>
      <c r="E52"/>
    </row>
    <row r="53" spans="1:5" x14ac:dyDescent="0.25">
      <c r="A53" s="60"/>
      <c r="B53" s="60"/>
      <c r="C53" s="60"/>
      <c r="D53" s="60"/>
      <c r="E53"/>
    </row>
    <row r="54" spans="1:5" x14ac:dyDescent="0.25">
      <c r="A54" s="60"/>
      <c r="B54" s="60"/>
      <c r="C54" s="60"/>
      <c r="D54" s="60"/>
      <c r="E54"/>
    </row>
    <row r="55" spans="1:5" x14ac:dyDescent="0.25">
      <c r="A55" s="60"/>
      <c r="B55" s="60"/>
      <c r="C55" s="60"/>
      <c r="D55" s="60"/>
      <c r="E55"/>
    </row>
    <row r="56" spans="1:5" x14ac:dyDescent="0.25">
      <c r="A56" s="60"/>
      <c r="B56" s="60"/>
      <c r="C56" s="60"/>
      <c r="D56" s="60"/>
      <c r="E56"/>
    </row>
    <row r="57" spans="1:5" x14ac:dyDescent="0.25">
      <c r="A57" s="60"/>
      <c r="B57" s="60"/>
      <c r="C57" s="60"/>
      <c r="D57" s="60"/>
      <c r="E57"/>
    </row>
  </sheetData>
  <sheetProtection sheet="1"/>
  <mergeCells count="2">
    <mergeCell ref="A20:E20"/>
    <mergeCell ref="A19:E19"/>
  </mergeCells>
  <pageMargins left="0.7" right="0.7" top="0.75" bottom="0.75" header="0.3" footer="0.3"/>
  <pageSetup orientation="portrait" r:id="rId1"/>
  <ignoredErrors>
    <ignoredError sqref="D3:D17 A3:A8 B17:C17 A17" unlockedFormula="1"/>
  </ignoredError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23802-C8AD-4D53-BC4E-6857BEFB5169}">
  <sheetPr>
    <tabColor theme="9" tint="-0.499984740745262"/>
  </sheetPr>
  <dimension ref="A1:E62"/>
  <sheetViews>
    <sheetView topLeftCell="A3" workbookViewId="0">
      <selection activeCell="B50" sqref="B50"/>
    </sheetView>
  </sheetViews>
  <sheetFormatPr defaultColWidth="9.140625" defaultRowHeight="15" x14ac:dyDescent="0.25"/>
  <cols>
    <col min="1" max="1" width="30.85546875" customWidth="1"/>
    <col min="2" max="3" width="22.28515625" customWidth="1"/>
    <col min="4" max="4" width="11.5703125" bestFit="1" customWidth="1"/>
  </cols>
  <sheetData>
    <row r="1" spans="1:3" s="12" customFormat="1" ht="23.25" customHeight="1" thickBot="1" x14ac:dyDescent="0.3">
      <c r="A1" s="40" t="s">
        <v>38</v>
      </c>
      <c r="B1" s="41" t="s">
        <v>189</v>
      </c>
      <c r="C1" s="41" t="s">
        <v>190</v>
      </c>
    </row>
    <row r="2" spans="1:3" ht="15.75" thickBot="1" x14ac:dyDescent="0.3">
      <c r="A2" s="31" t="s">
        <v>85</v>
      </c>
      <c r="B2" s="32">
        <f>'F. Material costs'!D24</f>
        <v>0</v>
      </c>
      <c r="C2" s="33" t="e">
        <f>'F. Material costs'!D25</f>
        <v>#DIV/0!</v>
      </c>
    </row>
    <row r="3" spans="1:3" x14ac:dyDescent="0.25">
      <c r="A3" s="30" t="s">
        <v>191</v>
      </c>
      <c r="B3" s="34" t="e">
        <f>SUM(B4:B17)</f>
        <v>#DIV/0!</v>
      </c>
      <c r="C3" s="35" t="e">
        <f>B3/'B. Trial dimensions'!$B$9</f>
        <v>#DIV/0!</v>
      </c>
    </row>
    <row r="4" spans="1:3" x14ac:dyDescent="0.25">
      <c r="A4" s="13" t="str">
        <f>'G. Wages'!A2</f>
        <v>[Add if needed]</v>
      </c>
      <c r="B4" s="14" t="e">
        <f>'G. Wages'!C2*'H. Labour time'!M3</f>
        <v>#DIV/0!</v>
      </c>
      <c r="C4" s="15" t="e">
        <f>B4/'B. Trial dimensions'!$B$9</f>
        <v>#DIV/0!</v>
      </c>
    </row>
    <row r="5" spans="1:3" x14ac:dyDescent="0.25">
      <c r="A5" s="13" t="str">
        <f>'G. Wages'!A3</f>
        <v>[Add if needed]</v>
      </c>
      <c r="B5" s="14" t="e">
        <f>'G. Wages'!C3*'H. Labour time'!M4</f>
        <v>#DIV/0!</v>
      </c>
      <c r="C5" s="15" t="e">
        <f>B5/'B. Trial dimensions'!$B$9</f>
        <v>#DIV/0!</v>
      </c>
    </row>
    <row r="6" spans="1:3" x14ac:dyDescent="0.25">
      <c r="A6" s="13" t="str">
        <f>'G. Wages'!A4</f>
        <v>[Add if needed]</v>
      </c>
      <c r="B6" s="14" t="e">
        <f>'G. Wages'!C4*'H. Labour time'!M5</f>
        <v>#DIV/0!</v>
      </c>
      <c r="C6" s="15" t="e">
        <f>B6/'B. Trial dimensions'!$B$9</f>
        <v>#DIV/0!</v>
      </c>
    </row>
    <row r="7" spans="1:3" x14ac:dyDescent="0.25">
      <c r="A7" s="13" t="str">
        <f>'G. Wages'!A5</f>
        <v>[Add if needed]</v>
      </c>
      <c r="B7" s="14" t="e">
        <f>'G. Wages'!C5*'H. Labour time'!M6</f>
        <v>#DIV/0!</v>
      </c>
      <c r="C7" s="15" t="e">
        <f>B7/'B. Trial dimensions'!$B$9</f>
        <v>#DIV/0!</v>
      </c>
    </row>
    <row r="8" spans="1:3" x14ac:dyDescent="0.25">
      <c r="A8" s="13" t="str">
        <f>'G. Wages'!A6</f>
        <v>[Add if needed]</v>
      </c>
      <c r="B8" s="14" t="e">
        <f>'G. Wages'!C6*'H. Labour time'!M7</f>
        <v>#DIV/0!</v>
      </c>
      <c r="C8" s="15" t="e">
        <f>B8/'B. Trial dimensions'!$B$9</f>
        <v>#DIV/0!</v>
      </c>
    </row>
    <row r="9" spans="1:3" x14ac:dyDescent="0.25">
      <c r="A9" s="13" t="str">
        <f>'G. Wages'!A7</f>
        <v>[Add if needed]</v>
      </c>
      <c r="B9" s="14" t="e">
        <f>'G. Wages'!C7*'H. Labour time'!M8</f>
        <v>#DIV/0!</v>
      </c>
      <c r="C9" s="15" t="e">
        <f>B9/'B. Trial dimensions'!$B$9</f>
        <v>#DIV/0!</v>
      </c>
    </row>
    <row r="10" spans="1:3" x14ac:dyDescent="0.25">
      <c r="A10" s="13" t="str">
        <f>'G. Wages'!A8</f>
        <v>[Add if needed]</v>
      </c>
      <c r="B10" s="14" t="e">
        <f>'G. Wages'!C8*'H. Labour time'!M9</f>
        <v>#DIV/0!</v>
      </c>
      <c r="C10" s="15" t="e">
        <f>B10/'B. Trial dimensions'!$B$9</f>
        <v>#DIV/0!</v>
      </c>
    </row>
    <row r="11" spans="1:3" x14ac:dyDescent="0.25">
      <c r="A11" s="13" t="str">
        <f>'G. Wages'!A9</f>
        <v>[Add if needed]</v>
      </c>
      <c r="B11" s="14" t="e">
        <f>'G. Wages'!C9*'H. Labour time'!M10</f>
        <v>#DIV/0!</v>
      </c>
      <c r="C11" s="15" t="e">
        <f>B11/'B. Trial dimensions'!$B$9</f>
        <v>#DIV/0!</v>
      </c>
    </row>
    <row r="12" spans="1:3" x14ac:dyDescent="0.25">
      <c r="A12" s="13" t="str">
        <f>'G. Wages'!A10</f>
        <v>[Add if needed]</v>
      </c>
      <c r="B12" s="14" t="e">
        <f>'G. Wages'!C10*'H. Labour time'!M11</f>
        <v>#DIV/0!</v>
      </c>
      <c r="C12" s="15" t="e">
        <f>B12/'B. Trial dimensions'!$B$9</f>
        <v>#DIV/0!</v>
      </c>
    </row>
    <row r="13" spans="1:3" x14ac:dyDescent="0.25">
      <c r="A13" s="13" t="str">
        <f>'G. Wages'!A11</f>
        <v>[Add if needed]</v>
      </c>
      <c r="B13" s="14" t="e">
        <f>'G. Wages'!C11*'H. Labour time'!M12</f>
        <v>#DIV/0!</v>
      </c>
      <c r="C13" s="15" t="e">
        <f>B13/'B. Trial dimensions'!$B$9</f>
        <v>#DIV/0!</v>
      </c>
    </row>
    <row r="14" spans="1:3" x14ac:dyDescent="0.25">
      <c r="A14" s="13" t="str">
        <f>'G. Wages'!A12</f>
        <v>[Add if needed]</v>
      </c>
      <c r="B14" s="14" t="e">
        <f>'G. Wages'!C12*'H. Labour time'!M13</f>
        <v>#DIV/0!</v>
      </c>
      <c r="C14" s="15" t="e">
        <f>B14/'B. Trial dimensions'!$B$9</f>
        <v>#DIV/0!</v>
      </c>
    </row>
    <row r="15" spans="1:3" x14ac:dyDescent="0.25">
      <c r="A15" s="13" t="str">
        <f>'G. Wages'!A13</f>
        <v>[Add if needed]</v>
      </c>
      <c r="B15" s="14" t="e">
        <f>'G. Wages'!C13*'H. Labour time'!M14</f>
        <v>#DIV/0!</v>
      </c>
      <c r="C15" s="15" t="e">
        <f>B15/'B. Trial dimensions'!$B$9</f>
        <v>#DIV/0!</v>
      </c>
    </row>
    <row r="16" spans="1:3" x14ac:dyDescent="0.25">
      <c r="A16" s="13" t="str">
        <f>'G. Wages'!A14</f>
        <v>[Add if needed]</v>
      </c>
      <c r="B16" s="14" t="e">
        <f>'G. Wages'!C14*'H. Labour time'!M15</f>
        <v>#DIV/0!</v>
      </c>
      <c r="C16" s="15" t="e">
        <f>B16/'B. Trial dimensions'!$B$9</f>
        <v>#DIV/0!</v>
      </c>
    </row>
    <row r="17" spans="1:3" ht="15.75" thickBot="1" x14ac:dyDescent="0.3">
      <c r="A17" s="13" t="str">
        <f>'G. Wages'!A15</f>
        <v>[Add if needed]</v>
      </c>
      <c r="B17" s="14" t="e">
        <f>'G. Wages'!C15*'H. Labour time'!M16</f>
        <v>#DIV/0!</v>
      </c>
      <c r="C17" s="15" t="e">
        <f>B17/'B. Trial dimensions'!$B$9</f>
        <v>#DIV/0!</v>
      </c>
    </row>
    <row r="18" spans="1:3" x14ac:dyDescent="0.25">
      <c r="A18" s="30" t="s">
        <v>192</v>
      </c>
      <c r="B18" s="36" t="e">
        <f>SUM(B19:B30)</f>
        <v>#VALUE!</v>
      </c>
      <c r="C18" s="35" t="e">
        <f>B18/'B. Trial dimensions'!$B$9</f>
        <v>#VALUE!</v>
      </c>
    </row>
    <row r="19" spans="1:3" x14ac:dyDescent="0.25">
      <c r="A19" s="13" t="str">
        <f>'J. Per diem allowance'!A3</f>
        <v>[Add if needed]</v>
      </c>
      <c r="B19" s="17" t="e">
        <f>'J. Per diem allowance'!O3</f>
        <v>#VALUE!</v>
      </c>
      <c r="C19" s="15" t="e">
        <f>B19/'B. Trial dimensions'!$B$9</f>
        <v>#VALUE!</v>
      </c>
    </row>
    <row r="20" spans="1:3" x14ac:dyDescent="0.25">
      <c r="A20" s="13" t="str">
        <f>'J. Per diem allowance'!A4</f>
        <v>[Add if needed]</v>
      </c>
      <c r="B20" s="17" t="e">
        <f>'J. Per diem allowance'!O4</f>
        <v>#VALUE!</v>
      </c>
      <c r="C20" s="15" t="e">
        <f>B20/'B. Trial dimensions'!$B$9</f>
        <v>#VALUE!</v>
      </c>
    </row>
    <row r="21" spans="1:3" x14ac:dyDescent="0.25">
      <c r="A21" s="13" t="str">
        <f>'J. Per diem allowance'!A5</f>
        <v>[Add if needed]</v>
      </c>
      <c r="B21" s="17" t="e">
        <f>'J. Per diem allowance'!O5</f>
        <v>#VALUE!</v>
      </c>
      <c r="C21" s="15" t="e">
        <f>B21/'B. Trial dimensions'!$B$9</f>
        <v>#VALUE!</v>
      </c>
    </row>
    <row r="22" spans="1:3" x14ac:dyDescent="0.25">
      <c r="A22" s="13" t="str">
        <f>'J. Per diem allowance'!A6</f>
        <v>[Add if needed]</v>
      </c>
      <c r="B22" s="17" t="e">
        <f>'J. Per diem allowance'!O6</f>
        <v>#VALUE!</v>
      </c>
      <c r="C22" s="15" t="e">
        <f>B22/'B. Trial dimensions'!$B$9</f>
        <v>#VALUE!</v>
      </c>
    </row>
    <row r="23" spans="1:3" x14ac:dyDescent="0.25">
      <c r="A23" s="13" t="str">
        <f>'J. Per diem allowance'!A7</f>
        <v>[Add if needed]</v>
      </c>
      <c r="B23" s="17" t="e">
        <f>'J. Per diem allowance'!O7</f>
        <v>#VALUE!</v>
      </c>
      <c r="C23" s="15" t="e">
        <f>B23/'B. Trial dimensions'!$B$9</f>
        <v>#VALUE!</v>
      </c>
    </row>
    <row r="24" spans="1:3" x14ac:dyDescent="0.25">
      <c r="A24" s="13" t="str">
        <f>'J. Per diem allowance'!A8</f>
        <v>[Add if needed]</v>
      </c>
      <c r="B24" s="17" t="e">
        <f>'J. Per diem allowance'!O8</f>
        <v>#VALUE!</v>
      </c>
      <c r="C24" s="15" t="e">
        <f>B24/'B. Trial dimensions'!$B$9</f>
        <v>#VALUE!</v>
      </c>
    </row>
    <row r="25" spans="1:3" x14ac:dyDescent="0.25">
      <c r="A25" s="13" t="str">
        <f>'J. Per diem allowance'!A9</f>
        <v>[Add if needed]</v>
      </c>
      <c r="B25" s="17" t="e">
        <f>'J. Per diem allowance'!O9</f>
        <v>#VALUE!</v>
      </c>
      <c r="C25" s="15" t="e">
        <f>B25/'B. Trial dimensions'!$B$9</f>
        <v>#VALUE!</v>
      </c>
    </row>
    <row r="26" spans="1:3" x14ac:dyDescent="0.25">
      <c r="A26" s="13" t="str">
        <f>'J. Per diem allowance'!A10</f>
        <v>[Add if needed]</v>
      </c>
      <c r="B26" s="17" t="e">
        <f>'J. Per diem allowance'!O10</f>
        <v>#VALUE!</v>
      </c>
      <c r="C26" s="15" t="e">
        <f>B26/'B. Trial dimensions'!$B$9</f>
        <v>#VALUE!</v>
      </c>
    </row>
    <row r="27" spans="1:3" x14ac:dyDescent="0.25">
      <c r="A27" s="13" t="str">
        <f>'J. Per diem allowance'!A11</f>
        <v>[Add if needed]</v>
      </c>
      <c r="B27" s="17" t="e">
        <f>'J. Per diem allowance'!O11</f>
        <v>#VALUE!</v>
      </c>
      <c r="C27" s="15" t="e">
        <f>B27/'B. Trial dimensions'!$B$9</f>
        <v>#VALUE!</v>
      </c>
    </row>
    <row r="28" spans="1:3" x14ac:dyDescent="0.25">
      <c r="A28" s="13" t="str">
        <f>'J. Per diem allowance'!A12</f>
        <v>[Add if needed]</v>
      </c>
      <c r="B28" s="17" t="e">
        <f>'J. Per diem allowance'!O12</f>
        <v>#VALUE!</v>
      </c>
      <c r="C28" s="15" t="e">
        <f>B28/'B. Trial dimensions'!$B$9</f>
        <v>#VALUE!</v>
      </c>
    </row>
    <row r="29" spans="1:3" x14ac:dyDescent="0.25">
      <c r="A29" s="13" t="str">
        <f>'J. Per diem allowance'!A13</f>
        <v>[Add if needed]</v>
      </c>
      <c r="B29" s="17" t="e">
        <f>'J. Per diem allowance'!O13</f>
        <v>#VALUE!</v>
      </c>
      <c r="C29" s="15" t="e">
        <f>B29/'B. Trial dimensions'!$B$9</f>
        <v>#VALUE!</v>
      </c>
    </row>
    <row r="30" spans="1:3" ht="15.75" thickBot="1" x14ac:dyDescent="0.3">
      <c r="A30" s="13" t="str">
        <f>'J. Per diem allowance'!A14</f>
        <v>[Add if needed]</v>
      </c>
      <c r="B30" s="17" t="e">
        <f>'J. Per diem allowance'!O14</f>
        <v>#VALUE!</v>
      </c>
      <c r="C30" s="16" t="e">
        <f>B30/'B. Trial dimensions'!$B$9</f>
        <v>#VALUE!</v>
      </c>
    </row>
    <row r="31" spans="1:3" x14ac:dyDescent="0.25">
      <c r="A31" s="30" t="s">
        <v>193</v>
      </c>
      <c r="B31" s="36" t="e">
        <f>'K. Travel costs'!F24</f>
        <v>#DIV/0!</v>
      </c>
      <c r="C31" s="35" t="e">
        <f>B31/'B. Trial dimensions'!$B$9</f>
        <v>#DIV/0!</v>
      </c>
    </row>
    <row r="32" spans="1:3" x14ac:dyDescent="0.25">
      <c r="A32" s="13" t="str">
        <f>'K. Travel costs'!A13</f>
        <v>Trial preparation</v>
      </c>
      <c r="B32" s="17" t="e">
        <f>'K. Travel costs'!F13</f>
        <v>#DIV/0!</v>
      </c>
      <c r="C32" s="15" t="e">
        <f>B32/'B. Trial dimensions'!$B$9</f>
        <v>#DIV/0!</v>
      </c>
    </row>
    <row r="33" spans="1:5" x14ac:dyDescent="0.25">
      <c r="A33" s="13" t="s">
        <v>138</v>
      </c>
      <c r="B33" s="17" t="e">
        <f>'K. Travel costs'!F14</f>
        <v>#DIV/0!</v>
      </c>
      <c r="C33" s="15" t="e">
        <f>B33/'B. Trial dimensions'!$B$9</f>
        <v>#DIV/0!</v>
      </c>
    </row>
    <row r="34" spans="1:5" x14ac:dyDescent="0.25">
      <c r="A34" s="13" t="str">
        <f>'K. Travel costs'!A15</f>
        <v>Seed distribution</v>
      </c>
      <c r="B34" s="17" t="e">
        <f>'K. Travel costs'!F15</f>
        <v>#DIV/0!</v>
      </c>
      <c r="C34" s="15" t="e">
        <f>B34/'B. Trial dimensions'!$B$9</f>
        <v>#DIV/0!</v>
      </c>
    </row>
    <row r="35" spans="1:5" x14ac:dyDescent="0.25">
      <c r="A35" s="13" t="str">
        <f>'K. Travel costs'!A16</f>
        <v xml:space="preserve">Monitoring: Research </v>
      </c>
      <c r="B35" s="17" t="e">
        <f>'K. Travel costs'!F16</f>
        <v>#DIV/0!</v>
      </c>
      <c r="C35" s="15" t="e">
        <f>B35/'B. Trial dimensions'!$B$9</f>
        <v>#DIV/0!</v>
      </c>
    </row>
    <row r="36" spans="1:5" x14ac:dyDescent="0.25">
      <c r="A36" s="13" t="str">
        <f>'K. Travel costs'!A19</f>
        <v>Yield measurement</v>
      </c>
      <c r="B36" s="17" t="e">
        <f>'K. Travel costs'!F19</f>
        <v>#DIV/0!</v>
      </c>
      <c r="C36" s="15" t="e">
        <f>B36/'B. Trial dimensions'!$B$9</f>
        <v>#DIV/0!</v>
      </c>
    </row>
    <row r="37" spans="1:5" x14ac:dyDescent="0.25">
      <c r="A37" s="13" t="str">
        <f>'K. Travel costs'!A20</f>
        <v>Product evaluation</v>
      </c>
      <c r="B37" s="17" t="e">
        <f>'K. Travel costs'!F20</f>
        <v>#DIV/0!</v>
      </c>
      <c r="C37" s="15" t="e">
        <f>B37/'B. Trial dimensions'!$B$9</f>
        <v>#DIV/0!</v>
      </c>
    </row>
    <row r="38" spans="1:5" ht="15.75" thickBot="1" x14ac:dyDescent="0.3">
      <c r="A38" s="13" t="s">
        <v>194</v>
      </c>
      <c r="B38" s="17" t="e">
        <f>'K. Travel costs'!F21</f>
        <v>#DIV/0!</v>
      </c>
      <c r="C38" s="15" t="e">
        <f>B38/'B. Trial dimensions'!$B$9</f>
        <v>#DIV/0!</v>
      </c>
    </row>
    <row r="39" spans="1:5" x14ac:dyDescent="0.25">
      <c r="A39" s="30" t="s">
        <v>195</v>
      </c>
      <c r="B39" s="36">
        <f>SUM(B40:B53)</f>
        <v>0</v>
      </c>
      <c r="C39" s="35" t="e">
        <f>B39/'B. Trial dimensions'!$B$9</f>
        <v>#DIV/0!</v>
      </c>
      <c r="E39" s="18"/>
    </row>
    <row r="40" spans="1:5" x14ac:dyDescent="0.25">
      <c r="A40" s="25" t="str">
        <f>'L. Call costs'!A3</f>
        <v>[Add if needed]</v>
      </c>
      <c r="B40" s="14">
        <f>'L. Call costs'!D3</f>
        <v>0</v>
      </c>
      <c r="C40" s="15" t="e">
        <f>B40/'B. Trial dimensions'!$B$9</f>
        <v>#DIV/0!</v>
      </c>
    </row>
    <row r="41" spans="1:5" x14ac:dyDescent="0.25">
      <c r="A41" s="25" t="str">
        <f>'L. Call costs'!A4</f>
        <v>[Add if needed]</v>
      </c>
      <c r="B41" s="14">
        <f>'L. Call costs'!D4</f>
        <v>0</v>
      </c>
      <c r="C41" s="15" t="e">
        <f>B41/'B. Trial dimensions'!$B$9</f>
        <v>#DIV/0!</v>
      </c>
    </row>
    <row r="42" spans="1:5" x14ac:dyDescent="0.25">
      <c r="A42" s="25" t="str">
        <f>'L. Call costs'!A5</f>
        <v>[Add if needed]</v>
      </c>
      <c r="B42" s="14">
        <f>'L. Call costs'!D5</f>
        <v>0</v>
      </c>
      <c r="C42" s="15" t="e">
        <f>B42/'B. Trial dimensions'!$B$9</f>
        <v>#DIV/0!</v>
      </c>
    </row>
    <row r="43" spans="1:5" x14ac:dyDescent="0.25">
      <c r="A43" s="25" t="str">
        <f>'L. Call costs'!A6</f>
        <v>[Add if needed]</v>
      </c>
      <c r="B43" s="14">
        <f>'L. Call costs'!D6</f>
        <v>0</v>
      </c>
      <c r="C43" s="15" t="e">
        <f>B43/'B. Trial dimensions'!$B$9</f>
        <v>#DIV/0!</v>
      </c>
    </row>
    <row r="44" spans="1:5" x14ac:dyDescent="0.25">
      <c r="A44" s="25" t="str">
        <f>'L. Call costs'!A7</f>
        <v>[Add if needed]</v>
      </c>
      <c r="B44" s="14">
        <f>'L. Call costs'!D7</f>
        <v>0</v>
      </c>
      <c r="C44" s="15" t="e">
        <f>B44/'B. Trial dimensions'!$B$9</f>
        <v>#DIV/0!</v>
      </c>
    </row>
    <row r="45" spans="1:5" x14ac:dyDescent="0.25">
      <c r="A45" s="25" t="str">
        <f>'L. Call costs'!A8</f>
        <v>[Add if needed]</v>
      </c>
      <c r="B45" s="14">
        <f>'L. Call costs'!D8</f>
        <v>0</v>
      </c>
      <c r="C45" s="15" t="e">
        <f>B45/'B. Trial dimensions'!$B$9</f>
        <v>#DIV/0!</v>
      </c>
    </row>
    <row r="46" spans="1:5" x14ac:dyDescent="0.25">
      <c r="A46" s="25" t="str">
        <f>'L. Call costs'!A9</f>
        <v>[Add if needed]</v>
      </c>
      <c r="B46" s="14">
        <f>'L. Call costs'!D9</f>
        <v>0</v>
      </c>
      <c r="C46" s="15" t="e">
        <f>B46/'B. Trial dimensions'!$B$9</f>
        <v>#DIV/0!</v>
      </c>
    </row>
    <row r="47" spans="1:5" x14ac:dyDescent="0.25">
      <c r="A47" s="25" t="str">
        <f>'L. Call costs'!A10</f>
        <v>[Add if needed]</v>
      </c>
      <c r="B47" s="14">
        <f>'L. Call costs'!D10</f>
        <v>0</v>
      </c>
      <c r="C47" s="15" t="e">
        <f>B47/'B. Trial dimensions'!$B$9</f>
        <v>#DIV/0!</v>
      </c>
    </row>
    <row r="48" spans="1:5" x14ac:dyDescent="0.25">
      <c r="A48" s="25" t="str">
        <f>'L. Call costs'!A11</f>
        <v>[Add if needed]</v>
      </c>
      <c r="B48" s="14">
        <f>'L. Call costs'!D11</f>
        <v>0</v>
      </c>
      <c r="C48" s="15" t="e">
        <f>B48/'B. Trial dimensions'!$B$9</f>
        <v>#DIV/0!</v>
      </c>
    </row>
    <row r="49" spans="1:4" x14ac:dyDescent="0.25">
      <c r="A49" s="25" t="str">
        <f>'L. Call costs'!A12</f>
        <v>[Add if needed]</v>
      </c>
      <c r="B49" s="14">
        <f>'L. Call costs'!D12</f>
        <v>0</v>
      </c>
      <c r="C49" s="15" t="e">
        <f>B49/'B. Trial dimensions'!$B$9</f>
        <v>#DIV/0!</v>
      </c>
    </row>
    <row r="50" spans="1:4" x14ac:dyDescent="0.25">
      <c r="A50" s="25" t="str">
        <f>'L. Call costs'!A13</f>
        <v>[Add if needed]</v>
      </c>
      <c r="B50" s="14">
        <f>'L. Call costs'!D13</f>
        <v>0</v>
      </c>
      <c r="C50" s="15" t="e">
        <f>B50/'B. Trial dimensions'!$B$9</f>
        <v>#DIV/0!</v>
      </c>
    </row>
    <row r="51" spans="1:4" x14ac:dyDescent="0.25">
      <c r="A51" s="25" t="str">
        <f>'L. Call costs'!A14</f>
        <v>[Add if needed]</v>
      </c>
      <c r="B51" s="14">
        <f>'L. Call costs'!D14</f>
        <v>0</v>
      </c>
      <c r="C51" s="15" t="e">
        <f>B51/'B. Trial dimensions'!$B$9</f>
        <v>#DIV/0!</v>
      </c>
    </row>
    <row r="52" spans="1:4" x14ac:dyDescent="0.25">
      <c r="A52" s="25" t="str">
        <f>'L. Call costs'!A15</f>
        <v>[Add if needed]</v>
      </c>
      <c r="B52" s="14">
        <f>'L. Call costs'!D15</f>
        <v>0</v>
      </c>
      <c r="C52" s="15" t="e">
        <f>B52/'B. Trial dimensions'!$B$9</f>
        <v>#DIV/0!</v>
      </c>
    </row>
    <row r="53" spans="1:4" ht="15.75" thickBot="1" x14ac:dyDescent="0.3">
      <c r="A53" s="25" t="str">
        <f>'L. Call costs'!A16</f>
        <v>[Add if needed]</v>
      </c>
      <c r="B53" s="14">
        <f>'L. Call costs'!D16</f>
        <v>0</v>
      </c>
      <c r="C53" s="15" t="e">
        <f>B53/'B. Trial dimensions'!$B$9</f>
        <v>#DIV/0!</v>
      </c>
    </row>
    <row r="54" spans="1:4" s="12" customFormat="1" ht="30" customHeight="1" thickBot="1" x14ac:dyDescent="0.3">
      <c r="A54" s="37" t="s">
        <v>196</v>
      </c>
      <c r="B54" s="38" t="e">
        <f>B2+B3+B18+B39+B31</f>
        <v>#DIV/0!</v>
      </c>
      <c r="C54" s="39" t="e">
        <f>C2+C3+C18+C39+C31</f>
        <v>#DIV/0!</v>
      </c>
    </row>
    <row r="59" spans="1:4" x14ac:dyDescent="0.25">
      <c r="C59" s="2"/>
    </row>
    <row r="62" spans="1:4" x14ac:dyDescent="0.25">
      <c r="D62" s="2"/>
    </row>
  </sheetData>
  <sheetProtection sheet="1" objects="1" scenarios="1"/>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3DE8B-C84F-4651-A7DF-AA8B3A55F052}">
  <sheetPr>
    <tabColor theme="9" tint="-0.499984740745262"/>
    <pageSetUpPr fitToPage="1"/>
  </sheetPr>
  <dimension ref="A1:H39"/>
  <sheetViews>
    <sheetView view="pageBreakPreview" zoomScale="120" zoomScaleNormal="100" zoomScaleSheetLayoutView="120" workbookViewId="0">
      <selection activeCell="C4" sqref="C4:C9"/>
    </sheetView>
  </sheetViews>
  <sheetFormatPr defaultColWidth="9.140625" defaultRowHeight="15" x14ac:dyDescent="0.25"/>
  <cols>
    <col min="1" max="1" width="31.7109375" customWidth="1"/>
    <col min="2" max="3" width="16.28515625" customWidth="1"/>
    <col min="4" max="4" width="14.28515625" customWidth="1"/>
    <col min="5" max="5" width="17.28515625" customWidth="1"/>
    <col min="6" max="6" width="24.28515625" bestFit="1" customWidth="1"/>
    <col min="7" max="8" width="25.7109375" style="153" customWidth="1"/>
  </cols>
  <sheetData>
    <row r="1" spans="1:8" x14ac:dyDescent="0.25">
      <c r="A1" s="237" t="s">
        <v>197</v>
      </c>
      <c r="B1" s="237"/>
      <c r="C1" s="237"/>
      <c r="D1" s="237"/>
      <c r="E1" s="237"/>
      <c r="F1" s="237"/>
      <c r="G1" s="237"/>
      <c r="H1" s="146"/>
    </row>
    <row r="2" spans="1:8" x14ac:dyDescent="0.25">
      <c r="A2" s="238"/>
      <c r="B2" s="238"/>
      <c r="C2" s="238"/>
      <c r="D2" s="238"/>
      <c r="E2" s="238"/>
      <c r="F2" s="238"/>
      <c r="G2" s="238"/>
      <c r="H2" s="147"/>
    </row>
    <row r="3" spans="1:8" x14ac:dyDescent="0.25">
      <c r="A3" s="148" t="s">
        <v>198</v>
      </c>
      <c r="B3" s="148" t="s">
        <v>199</v>
      </c>
      <c r="C3" s="148" t="s">
        <v>200</v>
      </c>
      <c r="D3" s="148" t="s">
        <v>201</v>
      </c>
      <c r="E3" s="148" t="s">
        <v>202</v>
      </c>
      <c r="F3" s="148" t="s">
        <v>203</v>
      </c>
      <c r="G3" s="148" t="s">
        <v>42</v>
      </c>
      <c r="H3" s="148"/>
    </row>
    <row r="4" spans="1:8" x14ac:dyDescent="0.25">
      <c r="A4" s="230" t="s">
        <v>204</v>
      </c>
      <c r="B4" s="206">
        <f>'B. Trial dimensions'!B9</f>
        <v>0</v>
      </c>
      <c r="C4" s="215"/>
      <c r="D4" s="207">
        <f>B4*(1+C4)</f>
        <v>0</v>
      </c>
      <c r="E4" s="208" t="e">
        <f>((D4-B4)/B4)</f>
        <v>#DIV/0!</v>
      </c>
      <c r="F4" s="209" t="e">
        <f>'M. Overview'!$B$54*E4</f>
        <v>#DIV/0!</v>
      </c>
      <c r="G4" s="215"/>
      <c r="H4" s="149"/>
    </row>
    <row r="5" spans="1:8" x14ac:dyDescent="0.25">
      <c r="A5" s="230" t="s">
        <v>205</v>
      </c>
      <c r="B5" s="206">
        <f>'B. Trial dimensions'!B12</f>
        <v>0</v>
      </c>
      <c r="C5" s="215"/>
      <c r="D5" s="207">
        <f t="shared" ref="D5:D9" si="0">B5*(1+C5)</f>
        <v>0</v>
      </c>
      <c r="E5" s="208" t="e">
        <f t="shared" ref="E5:E9" si="1">((D5-B5)/B5)</f>
        <v>#DIV/0!</v>
      </c>
      <c r="F5" s="209" t="e">
        <f>'M. Overview'!$B$54*E5</f>
        <v>#DIV/0!</v>
      </c>
      <c r="G5" s="215"/>
      <c r="H5" s="149"/>
    </row>
    <row r="6" spans="1:8" x14ac:dyDescent="0.25">
      <c r="A6" s="230" t="s">
        <v>206</v>
      </c>
      <c r="B6" s="206">
        <f>'B. Trial dimensions'!B13</f>
        <v>0</v>
      </c>
      <c r="C6" s="215"/>
      <c r="D6" s="207">
        <f t="shared" si="0"/>
        <v>0</v>
      </c>
      <c r="E6" s="208" t="e">
        <f t="shared" si="1"/>
        <v>#DIV/0!</v>
      </c>
      <c r="F6" s="209" t="e">
        <f>'M. Overview'!$B$54*E6</f>
        <v>#DIV/0!</v>
      </c>
      <c r="G6" s="215"/>
      <c r="H6" s="149"/>
    </row>
    <row r="7" spans="1:8" x14ac:dyDescent="0.25">
      <c r="A7" s="230" t="s">
        <v>207</v>
      </c>
      <c r="B7" s="210" t="e">
        <f>'M. Overview'!B31</f>
        <v>#DIV/0!</v>
      </c>
      <c r="C7" s="215"/>
      <c r="D7" s="211" t="e">
        <f t="shared" si="0"/>
        <v>#DIV/0!</v>
      </c>
      <c r="E7" s="208" t="e">
        <f t="shared" si="1"/>
        <v>#DIV/0!</v>
      </c>
      <c r="F7" s="209" t="e">
        <f>'M. Overview'!$B$54*E7</f>
        <v>#DIV/0!</v>
      </c>
      <c r="G7" s="215"/>
      <c r="H7" s="149"/>
    </row>
    <row r="8" spans="1:8" x14ac:dyDescent="0.25">
      <c r="A8" s="230" t="s">
        <v>208</v>
      </c>
      <c r="B8" s="210" t="e">
        <f>'M. Overview'!B3</f>
        <v>#DIV/0!</v>
      </c>
      <c r="C8" s="215"/>
      <c r="D8" s="211" t="e">
        <f t="shared" si="0"/>
        <v>#DIV/0!</v>
      </c>
      <c r="E8" s="208" t="e">
        <f t="shared" si="1"/>
        <v>#DIV/0!</v>
      </c>
      <c r="F8" s="209" t="e">
        <f>'M. Overview'!$B$54*E8</f>
        <v>#DIV/0!</v>
      </c>
      <c r="G8" s="215"/>
      <c r="H8" s="149"/>
    </row>
    <row r="9" spans="1:8" x14ac:dyDescent="0.25">
      <c r="A9" s="230" t="s">
        <v>209</v>
      </c>
      <c r="B9" s="210">
        <f>'M. Overview'!B2</f>
        <v>0</v>
      </c>
      <c r="C9" s="215"/>
      <c r="D9" s="211">
        <f t="shared" si="0"/>
        <v>0</v>
      </c>
      <c r="E9" s="208" t="e">
        <f t="shared" si="1"/>
        <v>#DIV/0!</v>
      </c>
      <c r="F9" s="209" t="e">
        <f>'M. Overview'!$B$54*E9</f>
        <v>#DIV/0!</v>
      </c>
      <c r="G9" s="215"/>
      <c r="H9" s="149"/>
    </row>
    <row r="10" spans="1:8" x14ac:dyDescent="0.25">
      <c r="A10" s="212"/>
      <c r="B10" s="101"/>
      <c r="C10" s="213"/>
      <c r="D10" s="101"/>
      <c r="E10" s="101"/>
      <c r="F10" s="214"/>
      <c r="G10" s="148"/>
      <c r="H10" s="150"/>
    </row>
    <row r="11" spans="1:8" x14ac:dyDescent="0.25">
      <c r="A11" s="239" t="s">
        <v>210</v>
      </c>
      <c r="B11" s="239"/>
      <c r="C11" s="239"/>
      <c r="D11" s="239"/>
      <c r="E11" s="239"/>
      <c r="F11" s="239"/>
      <c r="G11" s="239"/>
      <c r="H11" s="147"/>
    </row>
    <row r="12" spans="1:8" x14ac:dyDescent="0.25">
      <c r="A12" s="151"/>
      <c r="B12" s="151"/>
      <c r="C12" s="151"/>
      <c r="D12" s="151"/>
      <c r="E12" s="151"/>
      <c r="F12" s="151"/>
      <c r="G12" s="152"/>
      <c r="H12" s="152"/>
    </row>
    <row r="13" spans="1:8" x14ac:dyDescent="0.25">
      <c r="A13" s="151"/>
      <c r="B13" s="151"/>
      <c r="C13" s="151"/>
      <c r="D13" s="151"/>
      <c r="E13" s="151"/>
      <c r="F13" s="151"/>
      <c r="G13" s="152"/>
      <c r="H13" s="152"/>
    </row>
    <row r="14" spans="1:8" x14ac:dyDescent="0.25">
      <c r="A14" s="151"/>
      <c r="B14" s="151"/>
      <c r="C14" s="151"/>
      <c r="D14" s="151"/>
      <c r="E14" s="151"/>
      <c r="F14" s="151"/>
      <c r="G14" s="152"/>
      <c r="H14" s="152"/>
    </row>
    <row r="15" spans="1:8" x14ac:dyDescent="0.25">
      <c r="A15" s="151"/>
      <c r="B15" s="151"/>
      <c r="C15" s="151"/>
      <c r="D15" s="151"/>
      <c r="E15" s="151"/>
      <c r="F15" s="151"/>
      <c r="G15" s="152"/>
      <c r="H15" s="152"/>
    </row>
    <row r="16" spans="1:8" x14ac:dyDescent="0.25">
      <c r="A16" s="151"/>
      <c r="B16" s="151"/>
      <c r="C16" s="151"/>
      <c r="D16" s="151"/>
      <c r="E16" s="151"/>
      <c r="F16" s="151"/>
      <c r="G16" s="152"/>
      <c r="H16" s="152"/>
    </row>
    <row r="17" spans="1:8" x14ac:dyDescent="0.25">
      <c r="A17" s="151"/>
      <c r="B17" s="151"/>
      <c r="C17" s="151"/>
      <c r="D17" s="151"/>
      <c r="E17" s="151"/>
      <c r="F17" s="151"/>
      <c r="G17" s="152"/>
      <c r="H17" s="152"/>
    </row>
    <row r="18" spans="1:8" x14ac:dyDescent="0.25">
      <c r="A18" s="151"/>
      <c r="B18" s="151"/>
      <c r="C18" s="151"/>
      <c r="D18" s="151"/>
      <c r="E18" s="151"/>
      <c r="F18" s="151"/>
      <c r="G18" s="152"/>
      <c r="H18" s="152"/>
    </row>
    <row r="19" spans="1:8" x14ac:dyDescent="0.25">
      <c r="A19" s="151"/>
      <c r="B19" s="151"/>
      <c r="C19" s="151"/>
      <c r="D19" s="151"/>
      <c r="E19" s="151"/>
      <c r="F19" s="151"/>
      <c r="G19" s="152"/>
      <c r="H19" s="152"/>
    </row>
    <row r="20" spans="1:8" x14ac:dyDescent="0.25">
      <c r="A20" s="151"/>
      <c r="B20" s="151"/>
      <c r="C20" s="151"/>
      <c r="D20" s="151"/>
      <c r="E20" s="151"/>
      <c r="F20" s="151"/>
      <c r="G20" s="152"/>
      <c r="H20" s="152"/>
    </row>
    <row r="21" spans="1:8" x14ac:dyDescent="0.25">
      <c r="A21" s="151"/>
      <c r="B21" s="151"/>
      <c r="C21" s="151"/>
      <c r="D21" s="151"/>
      <c r="E21" s="151"/>
      <c r="F21" s="151"/>
      <c r="G21" s="152"/>
      <c r="H21" s="152"/>
    </row>
    <row r="22" spans="1:8" x14ac:dyDescent="0.25">
      <c r="A22" s="151"/>
      <c r="B22" s="151"/>
      <c r="C22" s="151"/>
      <c r="D22" s="151"/>
      <c r="E22" s="151"/>
      <c r="F22" s="151"/>
      <c r="G22" s="152"/>
      <c r="H22" s="152"/>
    </row>
    <row r="23" spans="1:8" x14ac:dyDescent="0.25">
      <c r="A23" s="151"/>
      <c r="B23" s="151"/>
      <c r="C23" s="151"/>
      <c r="D23" s="151"/>
      <c r="E23" s="151"/>
      <c r="F23" s="151"/>
      <c r="G23" s="152"/>
      <c r="H23" s="152"/>
    </row>
    <row r="24" spans="1:8" x14ac:dyDescent="0.25">
      <c r="A24" s="151"/>
      <c r="B24" s="151"/>
      <c r="C24" s="151"/>
      <c r="D24" s="151"/>
      <c r="E24" s="151"/>
      <c r="F24" s="151"/>
      <c r="G24" s="152"/>
      <c r="H24" s="152"/>
    </row>
    <row r="25" spans="1:8" x14ac:dyDescent="0.25">
      <c r="A25" s="151"/>
      <c r="B25" s="151"/>
      <c r="C25" s="151"/>
      <c r="D25" s="151"/>
      <c r="E25" s="151"/>
      <c r="F25" s="151"/>
      <c r="G25" s="152"/>
      <c r="H25" s="152"/>
    </row>
    <row r="26" spans="1:8" x14ac:dyDescent="0.25">
      <c r="A26" s="151"/>
      <c r="B26" s="151"/>
      <c r="C26" s="151"/>
      <c r="D26" s="151"/>
      <c r="E26" s="151"/>
      <c r="F26" s="151"/>
      <c r="G26" s="152"/>
      <c r="H26" s="152"/>
    </row>
    <row r="27" spans="1:8" x14ac:dyDescent="0.25">
      <c r="A27" s="151"/>
      <c r="B27" s="151"/>
      <c r="C27" s="151"/>
      <c r="D27" s="151"/>
      <c r="E27" s="151"/>
      <c r="F27" s="151"/>
      <c r="G27" s="152"/>
      <c r="H27" s="152"/>
    </row>
    <row r="28" spans="1:8" x14ac:dyDescent="0.25">
      <c r="A28" s="151"/>
      <c r="B28" s="151"/>
      <c r="C28" s="151"/>
      <c r="D28" s="151"/>
      <c r="E28" s="151"/>
      <c r="F28" s="151"/>
      <c r="G28" s="152"/>
      <c r="H28" s="152"/>
    </row>
    <row r="29" spans="1:8" x14ac:dyDescent="0.25">
      <c r="A29" s="151"/>
      <c r="B29" s="151"/>
      <c r="C29" s="151"/>
      <c r="D29" s="151"/>
      <c r="E29" s="151"/>
      <c r="F29" s="151"/>
      <c r="G29" s="152"/>
      <c r="H29" s="152"/>
    </row>
    <row r="30" spans="1:8" x14ac:dyDescent="0.25">
      <c r="A30" s="151"/>
      <c r="B30" s="151"/>
      <c r="C30" s="151"/>
      <c r="D30" s="151"/>
      <c r="E30" s="151"/>
      <c r="F30" s="151"/>
      <c r="G30" s="151"/>
      <c r="H30" s="151"/>
    </row>
    <row r="31" spans="1:8" x14ac:dyDescent="0.25">
      <c r="A31" s="151"/>
      <c r="B31" s="151"/>
      <c r="C31" s="151"/>
      <c r="D31" s="151"/>
      <c r="E31" s="151"/>
      <c r="F31" s="151"/>
      <c r="G31" s="151"/>
      <c r="H31" s="151"/>
    </row>
    <row r="32" spans="1:8" x14ac:dyDescent="0.25">
      <c r="A32" s="151"/>
      <c r="B32" s="151"/>
      <c r="C32" s="151"/>
      <c r="D32" s="151"/>
      <c r="E32" s="151"/>
      <c r="F32" s="151"/>
      <c r="G32" s="151"/>
      <c r="H32" s="151"/>
    </row>
    <row r="33" spans="1:8" x14ac:dyDescent="0.25">
      <c r="A33" s="151"/>
      <c r="B33" s="151"/>
      <c r="C33" s="151"/>
      <c r="D33" s="151"/>
      <c r="E33" s="151"/>
      <c r="F33" s="151"/>
      <c r="G33" s="151"/>
      <c r="H33" s="151"/>
    </row>
    <row r="34" spans="1:8" x14ac:dyDescent="0.25">
      <c r="A34" s="151"/>
      <c r="B34" s="151"/>
      <c r="C34" s="151"/>
      <c r="D34" s="151"/>
      <c r="E34" s="151"/>
      <c r="F34" s="151"/>
      <c r="G34" s="151"/>
      <c r="H34" s="151"/>
    </row>
    <row r="35" spans="1:8" x14ac:dyDescent="0.25">
      <c r="A35" s="151"/>
      <c r="B35" s="151"/>
      <c r="C35" s="151"/>
      <c r="D35" s="151"/>
      <c r="E35" s="151"/>
      <c r="F35" s="151"/>
      <c r="G35" s="151"/>
      <c r="H35" s="151"/>
    </row>
    <row r="36" spans="1:8" x14ac:dyDescent="0.25">
      <c r="A36" s="151"/>
      <c r="B36" s="151"/>
      <c r="C36" s="151"/>
      <c r="D36" s="151"/>
      <c r="E36" s="151"/>
      <c r="F36" s="151"/>
      <c r="G36" s="151"/>
      <c r="H36" s="151"/>
    </row>
    <row r="37" spans="1:8" x14ac:dyDescent="0.25">
      <c r="A37" s="151"/>
      <c r="B37" s="151"/>
      <c r="C37" s="151"/>
      <c r="D37" s="151"/>
      <c r="E37" s="151"/>
      <c r="F37" s="151"/>
      <c r="G37" s="151"/>
      <c r="H37" s="151"/>
    </row>
    <row r="38" spans="1:8" x14ac:dyDescent="0.25">
      <c r="A38" s="151"/>
      <c r="B38" s="151"/>
      <c r="C38" s="151"/>
      <c r="D38" s="151"/>
      <c r="E38" s="151"/>
      <c r="F38" s="151"/>
      <c r="G38" s="151"/>
      <c r="H38" s="151"/>
    </row>
    <row r="39" spans="1:8" ht="0.75" customHeight="1" x14ac:dyDescent="0.25">
      <c r="A39" s="151"/>
      <c r="B39" s="151"/>
      <c r="C39" s="151"/>
      <c r="D39" s="151"/>
      <c r="E39" s="151"/>
      <c r="F39" s="151"/>
      <c r="G39" s="151"/>
      <c r="H39" s="151"/>
    </row>
  </sheetData>
  <sheetProtection sheet="1" objects="1" scenarios="1" selectLockedCells="1"/>
  <mergeCells count="3">
    <mergeCell ref="A1:G1"/>
    <mergeCell ref="A2:G2"/>
    <mergeCell ref="A11:G11"/>
  </mergeCells>
  <pageMargins left="0.7" right="0.7" top="0.75" bottom="0.75" header="0.3" footer="0.3"/>
  <pageSetup scale="83"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434FA-9765-4A7D-8FAD-70B9A451F0D0}">
  <sheetPr>
    <tabColor theme="9" tint="-0.499984740745262"/>
    <pageSetUpPr fitToPage="1"/>
  </sheetPr>
  <dimension ref="A1:T41"/>
  <sheetViews>
    <sheetView view="pageBreakPreview" zoomScale="110" zoomScaleNormal="100" zoomScaleSheetLayoutView="110" workbookViewId="0">
      <selection activeCell="B5" sqref="B5:B11"/>
    </sheetView>
  </sheetViews>
  <sheetFormatPr defaultColWidth="9.140625" defaultRowHeight="12.75" x14ac:dyDescent="0.2"/>
  <cols>
    <col min="1" max="1" width="12.7109375" style="5" customWidth="1"/>
    <col min="2" max="2" width="13.7109375" style="5" bestFit="1" customWidth="1"/>
    <col min="3" max="3" width="16.42578125" style="5" bestFit="1" customWidth="1"/>
    <col min="4" max="4" width="12.7109375" style="5" bestFit="1" customWidth="1"/>
    <col min="5" max="5" width="19" style="5" bestFit="1" customWidth="1"/>
    <col min="6" max="6" width="15.140625" style="5" bestFit="1" customWidth="1"/>
    <col min="7" max="7" width="17.140625" style="5" bestFit="1" customWidth="1"/>
    <col min="8" max="8" width="18.7109375" style="5" bestFit="1" customWidth="1"/>
    <col min="9" max="9" width="11.5703125" style="5" hidden="1" customWidth="1"/>
    <col min="10" max="11" width="9.42578125" style="5" hidden="1" customWidth="1"/>
    <col min="12" max="12" width="11.28515625" style="5" hidden="1" customWidth="1"/>
    <col min="13" max="13" width="12.7109375" style="5" hidden="1" customWidth="1"/>
    <col min="14" max="14" width="13.5703125" style="5" bestFit="1" customWidth="1"/>
    <col min="15" max="15" width="11.42578125" style="5" customWidth="1"/>
    <col min="16" max="16" width="29.140625" style="5" customWidth="1"/>
    <col min="17" max="17" width="9.140625" style="5"/>
    <col min="18" max="20" width="9.140625" style="4"/>
    <col min="21" max="16384" width="9.140625" style="5"/>
  </cols>
  <sheetData>
    <row r="1" spans="1:20" ht="18.75" x14ac:dyDescent="0.3">
      <c r="A1" s="216" t="s">
        <v>211</v>
      </c>
      <c r="B1" s="216"/>
      <c r="C1" s="216"/>
    </row>
    <row r="2" spans="1:20" x14ac:dyDescent="0.2">
      <c r="A2" s="217" t="s">
        <v>212</v>
      </c>
      <c r="B2" s="217"/>
      <c r="C2" s="217"/>
    </row>
    <row r="4" spans="1:20" s="50" customFormat="1" ht="24.75" customHeight="1" x14ac:dyDescent="0.25">
      <c r="A4" s="218" t="s">
        <v>213</v>
      </c>
      <c r="B4" s="218" t="s">
        <v>214</v>
      </c>
      <c r="C4" s="218" t="s">
        <v>198</v>
      </c>
      <c r="D4" s="218" t="s">
        <v>215</v>
      </c>
      <c r="E4" s="218" t="s">
        <v>216</v>
      </c>
      <c r="F4" s="218" t="s">
        <v>217</v>
      </c>
      <c r="G4" s="218" t="s">
        <v>218</v>
      </c>
      <c r="H4" s="218" t="s">
        <v>219</v>
      </c>
      <c r="I4" s="218" t="s">
        <v>220</v>
      </c>
      <c r="J4" s="218" t="s">
        <v>221</v>
      </c>
      <c r="K4" s="218" t="s">
        <v>222</v>
      </c>
      <c r="L4" s="218" t="s">
        <v>223</v>
      </c>
      <c r="M4" s="218" t="s">
        <v>224</v>
      </c>
      <c r="N4" s="219" t="s">
        <v>225</v>
      </c>
      <c r="O4" s="219" t="s">
        <v>226</v>
      </c>
      <c r="P4" s="219" t="s">
        <v>42</v>
      </c>
      <c r="R4" s="53"/>
      <c r="S4" s="53"/>
      <c r="T4" s="53"/>
    </row>
    <row r="5" spans="1:20" x14ac:dyDescent="0.2">
      <c r="A5" s="226" t="s">
        <v>227</v>
      </c>
      <c r="B5" s="28"/>
      <c r="C5" s="226" t="s">
        <v>227</v>
      </c>
      <c r="D5" s="52"/>
      <c r="E5" s="52"/>
      <c r="F5" s="52"/>
      <c r="G5" s="52"/>
      <c r="H5" s="52"/>
      <c r="I5" s="220">
        <v>1</v>
      </c>
      <c r="J5" s="220">
        <v>1</v>
      </c>
      <c r="K5" s="220">
        <v>1</v>
      </c>
      <c r="L5" s="220">
        <v>1</v>
      </c>
      <c r="M5" s="220">
        <v>1</v>
      </c>
      <c r="N5" s="51" t="e">
        <f>'M. Overview'!$B$54</f>
        <v>#DIV/0!</v>
      </c>
      <c r="O5" s="221" t="e">
        <f>(N5-$N$5)/$N$5%</f>
        <v>#DIV/0!</v>
      </c>
      <c r="P5" s="28"/>
      <c r="S5" s="54"/>
      <c r="T5" s="3"/>
    </row>
    <row r="6" spans="1:20" x14ac:dyDescent="0.2">
      <c r="A6" s="226" t="s">
        <v>228</v>
      </c>
      <c r="B6" s="227"/>
      <c r="C6" s="226" t="s">
        <v>229</v>
      </c>
      <c r="D6" s="222">
        <f>D5+(B6*D5)</f>
        <v>0</v>
      </c>
      <c r="E6" s="223">
        <f>E5</f>
        <v>0</v>
      </c>
      <c r="F6" s="222">
        <f>$F$5</f>
        <v>0</v>
      </c>
      <c r="G6" s="222">
        <f>$G$5</f>
        <v>0</v>
      </c>
      <c r="H6" s="222">
        <f>$H$5</f>
        <v>0</v>
      </c>
      <c r="I6" s="224" t="e">
        <f>D6/$D$5</f>
        <v>#DIV/0!</v>
      </c>
      <c r="J6" s="224" t="e">
        <f>E6/$E$5</f>
        <v>#DIV/0!</v>
      </c>
      <c r="K6" s="224" t="e">
        <f>F6/$F$5</f>
        <v>#DIV/0!</v>
      </c>
      <c r="L6" s="224" t="e">
        <f>G6/$G$5</f>
        <v>#DIV/0!</v>
      </c>
      <c r="M6" s="224" t="e">
        <f>H6/$H$5</f>
        <v>#DIV/0!</v>
      </c>
      <c r="N6" s="51" t="e">
        <f>'M. Overview'!$B$2*M6*I6+('M. Overview'!$B$3+'M. Overview'!$B$18)*L6*I6*J6+'M. Overview'!$B$31*K6*J6+'M. Overview'!$B$39*I6</f>
        <v>#DIV/0!</v>
      </c>
      <c r="O6" s="221" t="e">
        <f t="shared" ref="O6:O11" si="0">(N6-$N$5)/$N$5</f>
        <v>#DIV/0!</v>
      </c>
      <c r="P6" s="28"/>
      <c r="S6" s="54"/>
      <c r="T6" s="3"/>
    </row>
    <row r="7" spans="1:20" x14ac:dyDescent="0.2">
      <c r="A7" s="226" t="s">
        <v>230</v>
      </c>
      <c r="B7" s="228"/>
      <c r="C7" s="226" t="s">
        <v>231</v>
      </c>
      <c r="D7" s="222">
        <f>$D$5</f>
        <v>0</v>
      </c>
      <c r="E7" s="222">
        <f>E6+(B7*E6)</f>
        <v>0</v>
      </c>
      <c r="F7" s="222">
        <f>$F$5</f>
        <v>0</v>
      </c>
      <c r="G7" s="222">
        <f t="shared" ref="G7:G10" si="1">$G$5</f>
        <v>0</v>
      </c>
      <c r="H7" s="222">
        <f t="shared" ref="H7:H9" si="2">$H$5</f>
        <v>0</v>
      </c>
      <c r="I7" s="224" t="e">
        <f t="shared" ref="I7:I11" si="3">D7/$D$5</f>
        <v>#DIV/0!</v>
      </c>
      <c r="J7" s="224" t="e">
        <f t="shared" ref="J7:J11" si="4">E7/$E$5</f>
        <v>#DIV/0!</v>
      </c>
      <c r="K7" s="224" t="e">
        <f t="shared" ref="K7:K11" si="5">F7/$F$5</f>
        <v>#DIV/0!</v>
      </c>
      <c r="L7" s="224" t="e">
        <f t="shared" ref="L7:L11" si="6">G7/$G$5</f>
        <v>#DIV/0!</v>
      </c>
      <c r="M7" s="224" t="e">
        <f t="shared" ref="M7:M11" si="7">H7/$H$5</f>
        <v>#DIV/0!</v>
      </c>
      <c r="N7" s="51" t="e">
        <f>'M. Overview'!$B$2*M7*I7+('M. Overview'!$B$3+'M. Overview'!$B$18)*L7*I7*J7+'M. Overview'!$B$31*K7*J7+'M. Overview'!$B$39*I7</f>
        <v>#DIV/0!</v>
      </c>
      <c r="O7" s="221" t="e">
        <f t="shared" si="0"/>
        <v>#DIV/0!</v>
      </c>
      <c r="P7" s="28"/>
      <c r="S7" s="54"/>
      <c r="T7" s="3"/>
    </row>
    <row r="8" spans="1:20" x14ac:dyDescent="0.2">
      <c r="A8" s="226" t="s">
        <v>232</v>
      </c>
      <c r="B8" s="228"/>
      <c r="C8" s="226" t="s">
        <v>233</v>
      </c>
      <c r="D8" s="222">
        <f t="shared" ref="D8:D10" si="8">$D$5</f>
        <v>0</v>
      </c>
      <c r="E8" s="222">
        <f>$E$5</f>
        <v>0</v>
      </c>
      <c r="F8" s="222">
        <f>F5+(B8*F5)</f>
        <v>0</v>
      </c>
      <c r="G8" s="222">
        <f t="shared" si="1"/>
        <v>0</v>
      </c>
      <c r="H8" s="222">
        <f t="shared" si="2"/>
        <v>0</v>
      </c>
      <c r="I8" s="224" t="e">
        <f t="shared" si="3"/>
        <v>#DIV/0!</v>
      </c>
      <c r="J8" s="224" t="e">
        <f t="shared" si="4"/>
        <v>#DIV/0!</v>
      </c>
      <c r="K8" s="224" t="e">
        <f t="shared" si="5"/>
        <v>#DIV/0!</v>
      </c>
      <c r="L8" s="224" t="e">
        <f t="shared" si="6"/>
        <v>#DIV/0!</v>
      </c>
      <c r="M8" s="224" t="e">
        <f t="shared" si="7"/>
        <v>#DIV/0!</v>
      </c>
      <c r="N8" s="51" t="e">
        <f>'M. Overview'!$B$2*M8*I8+('M. Overview'!$B$3+'M. Overview'!$B$18)*L8*I8*J8+'M. Overview'!$B$31*K8*J8+'M. Overview'!$B$39*I8</f>
        <v>#DIV/0!</v>
      </c>
      <c r="O8" s="221" t="e">
        <f t="shared" si="0"/>
        <v>#DIV/0!</v>
      </c>
      <c r="P8" s="28"/>
      <c r="S8" s="54"/>
      <c r="T8" s="3"/>
    </row>
    <row r="9" spans="1:20" x14ac:dyDescent="0.2">
      <c r="A9" s="226" t="s">
        <v>234</v>
      </c>
      <c r="B9" s="228"/>
      <c r="C9" s="226" t="s">
        <v>235</v>
      </c>
      <c r="D9" s="222">
        <f t="shared" si="8"/>
        <v>0</v>
      </c>
      <c r="E9" s="222">
        <f t="shared" ref="E9:E10" si="9">$E$5</f>
        <v>0</v>
      </c>
      <c r="F9" s="222">
        <f>$F$5</f>
        <v>0</v>
      </c>
      <c r="G9" s="222">
        <f>G5+(B9*G5)</f>
        <v>0</v>
      </c>
      <c r="H9" s="222">
        <f t="shared" si="2"/>
        <v>0</v>
      </c>
      <c r="I9" s="224" t="e">
        <f t="shared" si="3"/>
        <v>#DIV/0!</v>
      </c>
      <c r="J9" s="224" t="e">
        <f t="shared" si="4"/>
        <v>#DIV/0!</v>
      </c>
      <c r="K9" s="224" t="e">
        <f t="shared" si="5"/>
        <v>#DIV/0!</v>
      </c>
      <c r="L9" s="224" t="e">
        <f t="shared" si="6"/>
        <v>#DIV/0!</v>
      </c>
      <c r="M9" s="224" t="e">
        <f t="shared" si="7"/>
        <v>#DIV/0!</v>
      </c>
      <c r="N9" s="51" t="e">
        <f>'M. Overview'!$B$2*M9*I9+('M. Overview'!$B$3+'M. Overview'!$B$18)*L9*I9*J9+'M. Overview'!$B$31*K9*J9+'M. Overview'!$B$39*I9</f>
        <v>#DIV/0!</v>
      </c>
      <c r="O9" s="221" t="e">
        <f t="shared" si="0"/>
        <v>#DIV/0!</v>
      </c>
      <c r="P9" s="28"/>
      <c r="S9" s="54"/>
      <c r="T9" s="3"/>
    </row>
    <row r="10" spans="1:20" x14ac:dyDescent="0.2">
      <c r="A10" s="226" t="s">
        <v>236</v>
      </c>
      <c r="B10" s="227"/>
      <c r="C10" s="226" t="s">
        <v>237</v>
      </c>
      <c r="D10" s="222">
        <f t="shared" si="8"/>
        <v>0</v>
      </c>
      <c r="E10" s="222">
        <f t="shared" si="9"/>
        <v>0</v>
      </c>
      <c r="F10" s="222">
        <f>$F$5</f>
        <v>0</v>
      </c>
      <c r="G10" s="222">
        <f t="shared" si="1"/>
        <v>0</v>
      </c>
      <c r="H10" s="222">
        <f>H5+(B10*H5)</f>
        <v>0</v>
      </c>
      <c r="I10" s="224" t="e">
        <f t="shared" si="3"/>
        <v>#DIV/0!</v>
      </c>
      <c r="J10" s="224" t="e">
        <f t="shared" si="4"/>
        <v>#DIV/0!</v>
      </c>
      <c r="K10" s="224" t="e">
        <f t="shared" si="5"/>
        <v>#DIV/0!</v>
      </c>
      <c r="L10" s="224" t="e">
        <f t="shared" si="6"/>
        <v>#DIV/0!</v>
      </c>
      <c r="M10" s="224" t="e">
        <f t="shared" si="7"/>
        <v>#DIV/0!</v>
      </c>
      <c r="N10" s="51" t="e">
        <f>'M. Overview'!$B$2*M10*I10+('M. Overview'!$B$3+'M. Overview'!$B$18)*L10*I10*J10+'M. Overview'!$B$31*K10*J10+'M. Overview'!$B$39*I10</f>
        <v>#DIV/0!</v>
      </c>
      <c r="O10" s="221" t="e">
        <f t="shared" si="0"/>
        <v>#DIV/0!</v>
      </c>
      <c r="P10" s="28"/>
    </row>
    <row r="11" spans="1:20" x14ac:dyDescent="0.2">
      <c r="A11" s="226" t="s">
        <v>238</v>
      </c>
      <c r="B11" s="229"/>
      <c r="C11" s="226" t="s">
        <v>239</v>
      </c>
      <c r="D11" s="222">
        <f>D6</f>
        <v>0</v>
      </c>
      <c r="E11" s="222">
        <f>E7</f>
        <v>0</v>
      </c>
      <c r="F11" s="222">
        <f>F8</f>
        <v>0</v>
      </c>
      <c r="G11" s="222">
        <f>G9</f>
        <v>0</v>
      </c>
      <c r="H11" s="222">
        <f>H10</f>
        <v>0</v>
      </c>
      <c r="I11" s="224" t="e">
        <f t="shared" si="3"/>
        <v>#DIV/0!</v>
      </c>
      <c r="J11" s="224" t="e">
        <f t="shared" si="4"/>
        <v>#DIV/0!</v>
      </c>
      <c r="K11" s="224" t="e">
        <f t="shared" si="5"/>
        <v>#DIV/0!</v>
      </c>
      <c r="L11" s="224" t="e">
        <f t="shared" si="6"/>
        <v>#DIV/0!</v>
      </c>
      <c r="M11" s="224" t="e">
        <f t="shared" si="7"/>
        <v>#DIV/0!</v>
      </c>
      <c r="N11" s="51" t="e">
        <f>'M. Overview'!$B$2*M11*I11+('M. Overview'!$B$3+'M. Overview'!$B$18)*L11*I11*J11+'M. Overview'!$B$31*K11*J11+'M. Overview'!$B$39*I11</f>
        <v>#DIV/0!</v>
      </c>
      <c r="O11" s="221" t="e">
        <f t="shared" si="0"/>
        <v>#DIV/0!</v>
      </c>
      <c r="P11" s="28"/>
    </row>
    <row r="12" spans="1:20" x14ac:dyDescent="0.2">
      <c r="A12" s="225"/>
      <c r="B12" s="225"/>
      <c r="C12" s="225"/>
      <c r="D12" s="225"/>
      <c r="E12" s="225"/>
      <c r="F12" s="225"/>
      <c r="G12" s="225"/>
      <c r="H12" s="225"/>
      <c r="I12" s="225"/>
      <c r="J12" s="225"/>
      <c r="K12" s="225"/>
      <c r="L12" s="225"/>
      <c r="M12" s="225"/>
      <c r="N12" s="225"/>
      <c r="O12" s="225"/>
      <c r="P12" s="225"/>
    </row>
    <row r="13" spans="1:20" x14ac:dyDescent="0.2">
      <c r="A13" s="155" t="s">
        <v>240</v>
      </c>
      <c r="B13" s="156"/>
      <c r="C13" s="156"/>
      <c r="D13" s="156"/>
      <c r="E13" s="156"/>
      <c r="F13" s="156"/>
      <c r="G13" s="156"/>
      <c r="H13" s="156"/>
      <c r="I13" s="156"/>
      <c r="J13" s="156"/>
      <c r="K13" s="156"/>
      <c r="L13" s="156"/>
      <c r="M13" s="156"/>
      <c r="N13" s="156"/>
      <c r="O13" s="157"/>
      <c r="P13" s="158"/>
    </row>
    <row r="14" spans="1:20" x14ac:dyDescent="0.2">
      <c r="A14" s="24"/>
      <c r="B14" s="24"/>
      <c r="C14" s="24"/>
      <c r="D14" s="24"/>
      <c r="E14" s="24"/>
      <c r="F14" s="24"/>
      <c r="G14" s="24"/>
      <c r="H14" s="24"/>
      <c r="I14" s="24"/>
      <c r="J14" s="24"/>
      <c r="K14" s="24"/>
      <c r="L14" s="24"/>
      <c r="M14" s="24"/>
      <c r="N14" s="24"/>
      <c r="O14" s="24"/>
    </row>
    <row r="15" spans="1:20" x14ac:dyDescent="0.2">
      <c r="A15" s="24"/>
      <c r="B15" s="24"/>
      <c r="C15" s="24"/>
      <c r="D15" s="24"/>
      <c r="E15" s="24"/>
      <c r="F15" s="24"/>
      <c r="G15" s="24"/>
      <c r="H15" s="24"/>
      <c r="I15" s="24"/>
      <c r="J15" s="24"/>
      <c r="K15" s="24"/>
      <c r="L15" s="24"/>
      <c r="M15" s="24"/>
      <c r="N15" s="24"/>
      <c r="O15" s="24"/>
      <c r="P15" s="24"/>
    </row>
    <row r="16" spans="1:20" x14ac:dyDescent="0.2">
      <c r="A16" s="24"/>
      <c r="B16" s="24"/>
      <c r="C16" s="24"/>
      <c r="D16" s="24"/>
      <c r="E16" s="24"/>
      <c r="F16" s="24"/>
      <c r="G16" s="24"/>
      <c r="H16" s="24"/>
      <c r="I16" s="24"/>
      <c r="J16" s="24"/>
      <c r="K16" s="24"/>
      <c r="L16" s="24"/>
      <c r="M16" s="24"/>
      <c r="N16" s="24"/>
      <c r="O16" s="24"/>
      <c r="P16" s="24"/>
    </row>
    <row r="17" spans="1:19" x14ac:dyDescent="0.2">
      <c r="A17" s="24"/>
      <c r="B17" s="24"/>
      <c r="C17" s="24"/>
      <c r="D17" s="24"/>
      <c r="E17" s="24"/>
      <c r="F17" s="24"/>
      <c r="G17" s="24"/>
      <c r="H17" s="24"/>
      <c r="I17" s="24"/>
      <c r="J17" s="24"/>
      <c r="K17" s="24"/>
      <c r="L17" s="24"/>
      <c r="M17" s="24"/>
      <c r="N17" s="24"/>
      <c r="O17" s="24"/>
      <c r="P17" s="26"/>
    </row>
    <row r="18" spans="1:19" x14ac:dyDescent="0.2">
      <c r="A18" s="24"/>
      <c r="B18" s="24"/>
      <c r="C18" s="24"/>
      <c r="D18" s="24"/>
      <c r="E18" s="24"/>
      <c r="F18" s="24"/>
      <c r="G18" s="24"/>
      <c r="H18" s="24"/>
      <c r="I18" s="24"/>
      <c r="J18" s="24"/>
      <c r="K18" s="24"/>
      <c r="L18" s="24"/>
      <c r="M18" s="24"/>
      <c r="N18" s="24"/>
      <c r="O18" s="24"/>
      <c r="P18" s="24"/>
    </row>
    <row r="19" spans="1:19" x14ac:dyDescent="0.2">
      <c r="A19" s="24"/>
      <c r="B19" s="24"/>
      <c r="C19" s="24"/>
      <c r="D19" s="24"/>
      <c r="E19" s="24"/>
      <c r="F19" s="24"/>
      <c r="G19" s="24"/>
      <c r="H19" s="24"/>
      <c r="I19" s="24"/>
      <c r="J19" s="24"/>
      <c r="K19" s="24"/>
      <c r="L19" s="24"/>
      <c r="M19" s="24"/>
      <c r="N19" s="24"/>
      <c r="O19" s="24"/>
      <c r="P19" s="24"/>
    </row>
    <row r="20" spans="1:19" x14ac:dyDescent="0.2">
      <c r="A20" s="24"/>
      <c r="B20" s="24"/>
      <c r="C20" s="24"/>
      <c r="D20" s="24"/>
      <c r="E20" s="24"/>
      <c r="F20" s="24"/>
      <c r="G20" s="24"/>
      <c r="H20" s="24"/>
      <c r="I20" s="24"/>
      <c r="J20" s="24"/>
      <c r="K20" s="24"/>
      <c r="L20" s="24"/>
      <c r="M20" s="24"/>
      <c r="N20" s="24"/>
      <c r="O20" s="24"/>
      <c r="P20" s="24"/>
      <c r="S20" s="55"/>
    </row>
    <row r="21" spans="1:19" x14ac:dyDescent="0.2">
      <c r="A21" s="24"/>
      <c r="B21" s="24"/>
      <c r="C21" s="24"/>
      <c r="D21" s="24"/>
      <c r="E21" s="24"/>
      <c r="F21" s="24"/>
      <c r="G21" s="24"/>
      <c r="H21" s="24"/>
      <c r="I21" s="24"/>
      <c r="J21" s="24"/>
      <c r="K21" s="24"/>
      <c r="L21" s="24"/>
      <c r="M21" s="24"/>
      <c r="N21" s="24"/>
      <c r="O21" s="24"/>
      <c r="P21" s="24"/>
    </row>
    <row r="22" spans="1:19" x14ac:dyDescent="0.2">
      <c r="A22" s="24"/>
      <c r="B22" s="24"/>
      <c r="C22" s="24"/>
      <c r="D22" s="24"/>
      <c r="E22" s="24"/>
      <c r="F22" s="24"/>
      <c r="G22" s="24"/>
      <c r="H22" s="24"/>
      <c r="I22" s="24"/>
      <c r="J22" s="24"/>
      <c r="K22" s="24"/>
      <c r="L22" s="24"/>
      <c r="M22" s="24"/>
      <c r="N22" s="24"/>
      <c r="O22" s="24"/>
      <c r="P22" s="24"/>
    </row>
    <row r="23" spans="1:19" x14ac:dyDescent="0.2">
      <c r="A23" s="24"/>
      <c r="B23" s="24"/>
      <c r="C23" s="24"/>
      <c r="D23" s="24"/>
      <c r="E23" s="24"/>
      <c r="F23" s="24"/>
      <c r="G23" s="24"/>
      <c r="H23" s="24"/>
      <c r="I23" s="24"/>
      <c r="J23" s="24"/>
      <c r="K23" s="24"/>
      <c r="L23" s="24"/>
      <c r="M23" s="24"/>
      <c r="N23" s="24"/>
      <c r="O23" s="24"/>
      <c r="P23" s="24"/>
    </row>
    <row r="24" spans="1:19" x14ac:dyDescent="0.2">
      <c r="A24" s="24"/>
      <c r="B24" s="24"/>
      <c r="C24" s="24"/>
      <c r="D24" s="24"/>
      <c r="E24" s="24"/>
      <c r="F24" s="24"/>
      <c r="G24" s="24"/>
      <c r="H24" s="24"/>
      <c r="I24" s="24"/>
      <c r="J24" s="24"/>
      <c r="K24" s="24"/>
      <c r="L24" s="24"/>
      <c r="M24" s="24"/>
      <c r="N24" s="24"/>
      <c r="O24" s="24"/>
      <c r="P24" s="24"/>
    </row>
    <row r="25" spans="1:19" x14ac:dyDescent="0.2">
      <c r="A25" s="24"/>
      <c r="B25" s="24"/>
      <c r="C25" s="24"/>
      <c r="D25" s="24"/>
      <c r="E25" s="24"/>
      <c r="F25" s="24"/>
      <c r="G25" s="24"/>
      <c r="H25" s="24"/>
      <c r="I25" s="24"/>
      <c r="J25" s="24"/>
      <c r="K25" s="24"/>
      <c r="L25" s="24"/>
      <c r="M25" s="24"/>
      <c r="N25" s="24"/>
      <c r="O25" s="24"/>
      <c r="P25" s="24"/>
    </row>
    <row r="26" spans="1:19" x14ac:dyDescent="0.2">
      <c r="A26" s="24"/>
      <c r="B26" s="24"/>
      <c r="C26" s="24"/>
      <c r="D26" s="24"/>
      <c r="E26" s="24"/>
      <c r="F26" s="24"/>
      <c r="G26" s="24"/>
      <c r="H26" s="24"/>
      <c r="I26" s="24"/>
      <c r="J26" s="24"/>
      <c r="K26" s="24"/>
      <c r="L26" s="24"/>
      <c r="M26" s="24"/>
      <c r="N26" s="24"/>
      <c r="O26" s="24"/>
      <c r="P26" s="24"/>
    </row>
    <row r="27" spans="1:19" x14ac:dyDescent="0.2">
      <c r="A27" s="24"/>
      <c r="B27" s="24"/>
      <c r="C27" s="24"/>
      <c r="D27" s="24"/>
      <c r="E27" s="24"/>
      <c r="F27" s="24"/>
      <c r="G27" s="24"/>
      <c r="H27" s="24"/>
      <c r="I27" s="24"/>
      <c r="J27" s="24"/>
      <c r="K27" s="24"/>
      <c r="L27" s="24"/>
      <c r="M27" s="24"/>
      <c r="N27" s="24"/>
      <c r="O27" s="24"/>
      <c r="P27" s="24"/>
    </row>
    <row r="28" spans="1:19" x14ac:dyDescent="0.2">
      <c r="A28" s="24"/>
      <c r="B28" s="24"/>
      <c r="C28" s="24"/>
      <c r="D28" s="24"/>
      <c r="E28" s="24"/>
      <c r="F28" s="24"/>
      <c r="G28" s="24"/>
      <c r="H28" s="24"/>
      <c r="I28" s="24"/>
      <c r="J28" s="24"/>
      <c r="K28" s="24"/>
      <c r="L28" s="24"/>
      <c r="M28" s="24"/>
      <c r="N28" s="24"/>
      <c r="O28" s="24"/>
      <c r="P28" s="24"/>
    </row>
    <row r="29" spans="1:19" x14ac:dyDescent="0.2">
      <c r="A29" s="24"/>
      <c r="B29" s="24"/>
      <c r="C29" s="24"/>
      <c r="D29" s="24"/>
      <c r="E29" s="24"/>
      <c r="F29" s="24"/>
      <c r="G29" s="24"/>
      <c r="H29" s="24"/>
      <c r="I29" s="24"/>
      <c r="J29" s="24"/>
      <c r="K29" s="24"/>
      <c r="L29" s="24"/>
      <c r="M29" s="24"/>
      <c r="N29" s="24"/>
      <c r="O29" s="24"/>
      <c r="P29" s="24"/>
    </row>
    <row r="30" spans="1:19" x14ac:dyDescent="0.2">
      <c r="A30" s="24"/>
      <c r="B30" s="24"/>
      <c r="C30" s="24"/>
      <c r="D30" s="24"/>
      <c r="E30" s="24"/>
      <c r="F30" s="24"/>
      <c r="G30" s="24"/>
      <c r="H30" s="24"/>
      <c r="I30" s="24"/>
      <c r="J30" s="24"/>
      <c r="K30" s="24"/>
      <c r="L30" s="24"/>
      <c r="M30" s="24"/>
      <c r="N30" s="24"/>
      <c r="O30" s="24"/>
      <c r="P30" s="24"/>
    </row>
    <row r="31" spans="1:19" x14ac:dyDescent="0.2">
      <c r="A31" s="24"/>
      <c r="B31" s="24"/>
      <c r="C31" s="24"/>
      <c r="D31" s="24"/>
      <c r="E31" s="24"/>
      <c r="F31" s="24"/>
      <c r="G31" s="24"/>
      <c r="H31" s="24"/>
      <c r="I31" s="24"/>
      <c r="J31" s="24"/>
      <c r="K31" s="24"/>
      <c r="L31" s="24"/>
      <c r="M31" s="24"/>
      <c r="N31" s="24"/>
      <c r="O31" s="24"/>
      <c r="P31" s="24"/>
    </row>
    <row r="32" spans="1:19" x14ac:dyDescent="0.2">
      <c r="A32" s="24"/>
      <c r="B32" s="24"/>
      <c r="C32" s="24"/>
      <c r="D32" s="24"/>
      <c r="E32" s="24"/>
      <c r="F32" s="24"/>
      <c r="G32" s="24"/>
      <c r="H32" s="24"/>
      <c r="I32" s="24"/>
      <c r="J32" s="24"/>
      <c r="K32" s="24"/>
      <c r="L32" s="24"/>
      <c r="M32" s="24"/>
      <c r="N32" s="24"/>
      <c r="O32" s="24"/>
      <c r="P32" s="24"/>
    </row>
    <row r="33" spans="1:16" x14ac:dyDescent="0.2">
      <c r="A33" s="24"/>
      <c r="B33" s="24"/>
      <c r="C33" s="24"/>
      <c r="D33" s="24"/>
      <c r="E33" s="24"/>
      <c r="F33" s="24"/>
      <c r="G33" s="24"/>
      <c r="H33" s="24"/>
      <c r="I33" s="24"/>
      <c r="J33" s="24"/>
      <c r="K33" s="24"/>
      <c r="L33" s="24"/>
      <c r="M33" s="24"/>
      <c r="N33" s="24"/>
      <c r="O33" s="24"/>
      <c r="P33" s="24"/>
    </row>
    <row r="34" spans="1:16" x14ac:dyDescent="0.2">
      <c r="A34" s="24"/>
      <c r="B34" s="24"/>
      <c r="C34" s="24"/>
      <c r="D34" s="24"/>
      <c r="E34" s="24"/>
      <c r="F34" s="24"/>
      <c r="G34" s="24"/>
      <c r="H34" s="24"/>
      <c r="I34" s="24"/>
      <c r="J34" s="24"/>
      <c r="K34" s="24"/>
      <c r="L34" s="24"/>
      <c r="M34" s="24"/>
      <c r="N34" s="24"/>
      <c r="O34" s="24"/>
      <c r="P34" s="24"/>
    </row>
    <row r="35" spans="1:16" x14ac:dyDescent="0.2">
      <c r="A35" s="24"/>
      <c r="B35" s="24"/>
      <c r="C35" s="24"/>
      <c r="D35" s="24"/>
      <c r="E35" s="24"/>
      <c r="F35" s="24"/>
      <c r="G35" s="24"/>
      <c r="H35" s="24"/>
      <c r="I35" s="24"/>
      <c r="J35" s="24"/>
      <c r="K35" s="24"/>
      <c r="L35" s="24"/>
      <c r="M35" s="24"/>
      <c r="N35" s="24"/>
      <c r="O35" s="24"/>
      <c r="P35" s="24"/>
    </row>
    <row r="36" spans="1:16" x14ac:dyDescent="0.2">
      <c r="A36" s="24"/>
      <c r="B36" s="24"/>
      <c r="C36" s="24"/>
      <c r="D36" s="24"/>
      <c r="E36" s="24"/>
      <c r="F36" s="24"/>
      <c r="G36" s="24"/>
      <c r="H36" s="24"/>
      <c r="I36" s="24"/>
      <c r="J36" s="24"/>
      <c r="K36" s="24"/>
      <c r="L36" s="24"/>
      <c r="M36" s="24"/>
      <c r="N36" s="24"/>
      <c r="O36" s="24"/>
      <c r="P36" s="24"/>
    </row>
    <row r="37" spans="1:16" x14ac:dyDescent="0.2">
      <c r="A37" s="24"/>
      <c r="B37" s="24"/>
      <c r="C37" s="24"/>
      <c r="D37" s="24"/>
      <c r="E37" s="24"/>
      <c r="F37" s="24"/>
      <c r="G37" s="24"/>
      <c r="H37" s="24"/>
      <c r="I37" s="24"/>
      <c r="J37" s="24"/>
      <c r="K37" s="24"/>
      <c r="L37" s="24"/>
      <c r="M37" s="24"/>
      <c r="N37" s="24"/>
      <c r="O37" s="24"/>
      <c r="P37" s="24"/>
    </row>
    <row r="38" spans="1:16" x14ac:dyDescent="0.2">
      <c r="A38" s="24"/>
      <c r="B38" s="24"/>
      <c r="C38" s="24"/>
      <c r="D38" s="24"/>
      <c r="E38" s="24"/>
      <c r="F38" s="24"/>
      <c r="G38" s="24"/>
      <c r="H38" s="24"/>
      <c r="I38" s="24"/>
      <c r="J38" s="24"/>
      <c r="K38" s="24"/>
      <c r="L38" s="24"/>
      <c r="M38" s="24"/>
      <c r="N38" s="24"/>
      <c r="O38" s="24"/>
      <c r="P38" s="24"/>
    </row>
    <row r="39" spans="1:16" x14ac:dyDescent="0.2">
      <c r="A39" s="24"/>
      <c r="B39" s="24"/>
      <c r="C39" s="24"/>
      <c r="D39" s="24"/>
      <c r="E39" s="24"/>
      <c r="F39" s="24"/>
      <c r="G39" s="24"/>
      <c r="H39" s="24"/>
      <c r="I39" s="24"/>
      <c r="J39" s="24"/>
      <c r="K39" s="24"/>
      <c r="L39" s="24"/>
      <c r="M39" s="24"/>
      <c r="N39" s="24"/>
      <c r="O39" s="24"/>
      <c r="P39" s="24"/>
    </row>
    <row r="40" spans="1:16" x14ac:dyDescent="0.2">
      <c r="A40" s="24"/>
      <c r="B40" s="24"/>
      <c r="C40" s="24"/>
      <c r="D40" s="24"/>
      <c r="E40" s="24"/>
      <c r="F40" s="24"/>
      <c r="G40" s="24"/>
      <c r="H40" s="24"/>
      <c r="I40" s="24"/>
      <c r="J40" s="24"/>
      <c r="K40" s="24"/>
      <c r="L40" s="24"/>
      <c r="M40" s="24"/>
      <c r="N40" s="24"/>
      <c r="O40" s="24"/>
      <c r="P40" s="24"/>
    </row>
    <row r="41" spans="1:16" x14ac:dyDescent="0.2">
      <c r="A41" s="24"/>
      <c r="B41" s="24"/>
      <c r="C41" s="24"/>
      <c r="D41" s="24"/>
      <c r="E41" s="24"/>
      <c r="F41" s="24"/>
      <c r="G41" s="24"/>
      <c r="H41" s="24"/>
      <c r="I41" s="24"/>
      <c r="J41" s="24"/>
      <c r="K41" s="24"/>
      <c r="L41" s="24"/>
      <c r="M41" s="24"/>
      <c r="N41" s="24"/>
      <c r="O41" s="24"/>
      <c r="P41" s="24"/>
    </row>
  </sheetData>
  <sheetProtection sheet="1" selectLockedCells="1"/>
  <pageMargins left="0.7" right="0.7" top="0.75" bottom="0.75" header="0.3" footer="0.3"/>
  <pageSetup scale="68" orientation="landscape" r:id="rId1"/>
  <ignoredErrors>
    <ignoredError sqref="D6:H7 D10:H11 D8:E8 G8:H8 D9:F9 H9" unlocked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875DDFE23154489AFAC5902FF8534E" ma:contentTypeVersion="19" ma:contentTypeDescription="Create a new document." ma:contentTypeScope="" ma:versionID="9ec5f92ed0a41c76d47d3a0ba750fe4b">
  <xsd:schema xmlns:xsd="http://www.w3.org/2001/XMLSchema" xmlns:xs="http://www.w3.org/2001/XMLSchema" xmlns:p="http://schemas.microsoft.com/office/2006/metadata/properties" xmlns:ns2="441ed675-0930-4481-b7fc-859bd59298b3" xmlns:ns3="e94962f8-ecd4-4ebd-b153-c56a9f2659b7" targetNamespace="http://schemas.microsoft.com/office/2006/metadata/properties" ma:root="true" ma:fieldsID="49035cf0448704beed2e9258c2c18fa8" ns2:_="" ns3:_="">
    <xsd:import namespace="441ed675-0930-4481-b7fc-859bd59298b3"/>
    <xsd:import namespace="e94962f8-ecd4-4ebd-b153-c56a9f2659b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1ed675-0930-4481-b7fc-859bd59298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94962f8-ecd4-4ebd-b153-c56a9f2659b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1f34388-26a2-40a5-8936-3ce7c989558c}" ma:internalName="TaxCatchAll" ma:showField="CatchAllData" ma:web="e94962f8-ecd4-4ebd-b153-c56a9f2659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e94962f8-ecd4-4ebd-b153-c56a9f2659b7">
      <UserInfo>
        <DisplayName/>
        <AccountId xsi:nil="true"/>
        <AccountType/>
      </UserInfo>
    </SharedWithUsers>
    <lcf76f155ced4ddcb4097134ff3c332f xmlns="441ed675-0930-4481-b7fc-859bd59298b3">
      <Terms xmlns="http://schemas.microsoft.com/office/infopath/2007/PartnerControls"/>
    </lcf76f155ced4ddcb4097134ff3c332f>
    <TaxCatchAll xmlns="e94962f8-ecd4-4ebd-b153-c56a9f2659b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65D25F90-47CC-4359-AEF6-F2365BAE0D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1ed675-0930-4481-b7fc-859bd59298b3"/>
    <ds:schemaRef ds:uri="e94962f8-ecd4-4ebd-b153-c56a9f2659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DDAC089-3270-4513-A6C0-50327086995A}">
  <ds:schemaRefs>
    <ds:schemaRef ds:uri="http://purl.org/dc/dcmitype/"/>
    <ds:schemaRef ds:uri="http://schemas.microsoft.com/office/2006/documentManagement/types"/>
    <ds:schemaRef ds:uri="http://purl.org/dc/elements/1.1/"/>
    <ds:schemaRef ds:uri="http://www.w3.org/XML/1998/namespace"/>
    <ds:schemaRef ds:uri="http://purl.org/dc/terms/"/>
    <ds:schemaRef ds:uri="441ed675-0930-4481-b7fc-859bd59298b3"/>
    <ds:schemaRef ds:uri="http://schemas.microsoft.com/office/infopath/2007/PartnerControls"/>
    <ds:schemaRef ds:uri="http://schemas.openxmlformats.org/package/2006/metadata/core-properties"/>
    <ds:schemaRef ds:uri="e94962f8-ecd4-4ebd-b153-c56a9f2659b7"/>
    <ds:schemaRef ds:uri="http://schemas.microsoft.com/office/2006/metadata/properties"/>
  </ds:schemaRefs>
</ds:datastoreItem>
</file>

<file path=customXml/itemProps3.xml><?xml version="1.0" encoding="utf-8"?>
<ds:datastoreItem xmlns:ds="http://schemas.openxmlformats.org/officeDocument/2006/customXml" ds:itemID="{E51F35FE-EC80-46B8-B0F6-AFD6C17AADE3}">
  <ds:schemaRefs>
    <ds:schemaRef ds:uri="http://schemas.microsoft.com/sharepoint/v3/contenttype/forms"/>
  </ds:schemaRefs>
</ds:datastoreItem>
</file>

<file path=customXml/itemProps4.xml><?xml version="1.0" encoding="utf-8"?>
<ds:datastoreItem xmlns:ds="http://schemas.openxmlformats.org/officeDocument/2006/customXml" ds:itemID="{5A752608-0942-4253-A555-A0629283DB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16</vt:i4>
      </vt:variant>
      <vt:variant>
        <vt:lpstr>Named Ranges</vt:lpstr>
      </vt:variant>
      <vt:variant>
        <vt:i4>2</vt:i4>
      </vt:variant>
    </vt:vector>
  </HeadingPairs>
  <TitlesOfParts>
    <vt:vector size="18" baseType="lpstr">
      <vt:lpstr>A. Introduction</vt:lpstr>
      <vt:lpstr>B. Trial dimensions</vt:lpstr>
      <vt:lpstr>C. Seed required - RTB</vt:lpstr>
      <vt:lpstr>D. Seed multiplication - RTB</vt:lpstr>
      <vt:lpstr>E. Unit prices</vt:lpstr>
      <vt:lpstr>F. Material costs</vt:lpstr>
      <vt:lpstr>Fuel_actual</vt:lpstr>
      <vt:lpstr>G. Wages</vt:lpstr>
      <vt:lpstr>H. Labour time</vt:lpstr>
      <vt:lpstr>I. Labour costs</vt:lpstr>
      <vt:lpstr>J. Per diem allowance</vt:lpstr>
      <vt:lpstr>K. Travel costs</vt:lpstr>
      <vt:lpstr>L. Call costs</vt:lpstr>
      <vt:lpstr>M. Overview</vt:lpstr>
      <vt:lpstr>N. Sensitivity analysis</vt:lpstr>
      <vt:lpstr>O. Scenario analysis</vt:lpstr>
      <vt:lpstr>'E. Unit prices'!MyList</vt:lpstr>
      <vt:lpstr>'N. Sensitivity analysis'!Print_Area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Benavente, Grecia (Alliance Bioversity-CIAT)</dc:creator>
  <cp:keywords/>
  <dc:description/>
  <cp:lastModifiedBy>Chase, Rachel (Alliance Bioversity-CIAT)</cp:lastModifiedBy>
  <cp:revision/>
  <dcterms:created xsi:type="dcterms:W3CDTF">2025-03-27T13:14:03Z</dcterms:created>
  <dcterms:modified xsi:type="dcterms:W3CDTF">2026-01-15T13:30:35Z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0x01010089875DDFE23154489AFAC5902FF8534E</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